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set_100" sheetId="1" state="visible" r:id="rId1"/>
    <sheet xmlns:r="http://schemas.openxmlformats.org/officeDocument/2006/relationships" name="สรุปผล" sheetId="2" state="visible" r:id="rId2"/>
  </sheets>
  <definedNames>
    <definedName name="_xlnm._FilterDatabase" localSheetId="0" hidden="1">'testset_100'!$A$2:$L$102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Tahoma"/>
      <b val="1"/>
      <sz val="10"/>
    </font>
    <font>
      <name val="Tahoma"/>
      <b val="1"/>
      <color rgb="00FFFFFF"/>
      <sz val="10"/>
    </font>
    <font>
      <name val="Tahoma"/>
      <sz val="10"/>
    </font>
    <font>
      <name val="Tahoma"/>
      <b val="1"/>
      <color rgb="001E7A46"/>
      <sz val="10"/>
    </font>
    <font>
      <name val="Tahoma"/>
      <b val="1"/>
      <color rgb="00B3261E"/>
      <sz val="10"/>
    </font>
    <font>
      <name val="Tahoma"/>
      <b val="1"/>
      <sz val="13"/>
    </font>
    <font>
      <name val="Tahoma"/>
      <b val="1"/>
      <sz val="11"/>
    </font>
    <font>
      <name val="Tahoma"/>
      <sz val="9"/>
    </font>
  </fonts>
  <fills count="8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44546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1" fillId="7" borderId="0" pivotButton="0" quotePrefix="0" xfId="0"/>
    <xf numFmtId="164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8" customWidth="1" min="2" max="2"/>
    <col width="15" customWidth="1" min="3" max="3"/>
    <col width="15" customWidth="1" min="4" max="4"/>
    <col width="12" customWidth="1" min="5" max="5"/>
    <col width="12" customWidth="1" min="6" max="6"/>
    <col width="34" customWidth="1" min="7" max="7"/>
    <col width="12" customWidth="1" min="8" max="8"/>
    <col width="16" customWidth="1" min="9" max="9"/>
    <col width="12" customWidth="1" min="10" max="10"/>
    <col width="12" customWidth="1" min="11" max="11"/>
    <col width="15" customWidth="1" min="12" max="12"/>
  </cols>
  <sheetData>
    <row r="1">
      <c r="A1" s="1" t="inlineStr">
        <is>
          <t>คำเตือน: ลิงก์กลุ่ม phish_fresh เป็นเว็บหลอกที่ยังทำงานอยู่จริง — ห้ามเปิด ใช้สำหรับทดสอบระบบเท่านั้น</t>
        </is>
      </c>
    </row>
    <row r="2" ht="30" customHeight="1">
      <c r="A2" s="2" t="inlineStr">
        <is>
          <t>ลำดับ</t>
        </is>
      </c>
      <c r="B2" s="2" t="inlineStr">
        <is>
          <t>ลิงก์ (url)</t>
        </is>
      </c>
      <c r="C2" s="2" t="inlineStr">
        <is>
          <t>ความจริง (label)</t>
        </is>
      </c>
      <c r="D2" s="2" t="inlineStr">
        <is>
          <t>กลุ่ม (stratum)</t>
        </is>
      </c>
      <c r="E2" s="2" t="inlineStr">
        <is>
          <t>ระบบเรา: ผล</t>
        </is>
      </c>
      <c r="F2" s="2" t="inlineStr">
        <is>
          <t>ระบบเรา: คะแนน</t>
        </is>
      </c>
      <c r="G2" s="2" t="inlineStr">
        <is>
          <t>ระบบเรา: สัญญาณที่เจอ</t>
        </is>
      </c>
      <c r="H2" s="2" t="inlineStr">
        <is>
          <t>ระบบเรา: ถูก/ผิด</t>
        </is>
      </c>
      <c r="I2" s="2" t="inlineStr">
        <is>
          <t>คู่แข่ง: % คิดว่าหลอก</t>
        </is>
      </c>
      <c r="J2" s="2" t="inlineStr">
        <is>
          <t>คู่แข่ง: ผล</t>
        </is>
      </c>
      <c r="K2" s="2" t="inlineStr">
        <is>
          <t>คู่แข่ง: ถูก/ผิด</t>
        </is>
      </c>
      <c r="L2" s="2" t="inlineStr">
        <is>
          <t>ใครถูก</t>
        </is>
      </c>
    </row>
    <row r="3">
      <c r="A3" s="3" t="n">
        <v>1</v>
      </c>
      <c r="B3" s="4" t="inlineStr">
        <is>
          <t>https://www.google.com</t>
        </is>
      </c>
      <c r="C3" s="3" t="inlineStr">
        <is>
          <t>safe</t>
        </is>
      </c>
      <c r="D3" s="4" t="inlineStr">
        <is>
          <t>global_popular</t>
        </is>
      </c>
      <c r="E3" s="5" t="inlineStr">
        <is>
          <t>green</t>
        </is>
      </c>
      <c r="F3" s="3" t="n">
        <v>0</v>
      </c>
      <c r="G3" s="4" t="inlineStr">
        <is>
          <t>verified_brand</t>
        </is>
      </c>
      <c r="H3" s="6" t="inlineStr">
        <is>
          <t>ถูก</t>
        </is>
      </c>
      <c r="I3" s="7" t="n">
        <v>0.3087208241174006</v>
      </c>
      <c r="J3" s="5" t="inlineStr">
        <is>
          <t>not_red</t>
        </is>
      </c>
      <c r="K3" s="6" t="inlineStr">
        <is>
          <t>ถูก</t>
        </is>
      </c>
      <c r="L3" s="4" t="inlineStr">
        <is>
          <t>ถูกทั้งคู่</t>
        </is>
      </c>
    </row>
    <row r="4">
      <c r="A4" s="3" t="n">
        <v>2</v>
      </c>
      <c r="B4" s="4" t="inlineStr">
        <is>
          <t>https://www.youtube.com</t>
        </is>
      </c>
      <c r="C4" s="3" t="inlineStr">
        <is>
          <t>safe</t>
        </is>
      </c>
      <c r="D4" s="4" t="inlineStr">
        <is>
          <t>global_popular</t>
        </is>
      </c>
      <c r="E4" s="5" t="inlineStr">
        <is>
          <t>green</t>
        </is>
      </c>
      <c r="F4" s="3" t="n">
        <v>0</v>
      </c>
      <c r="G4" s="4" t="inlineStr">
        <is>
          <t>verified_brand</t>
        </is>
      </c>
      <c r="H4" s="6" t="inlineStr">
        <is>
          <t>ถูก</t>
        </is>
      </c>
      <c r="I4" s="7" t="n">
        <v>0.2884067946083708</v>
      </c>
      <c r="J4" s="5" t="inlineStr">
        <is>
          <t>not_red</t>
        </is>
      </c>
      <c r="K4" s="6" t="inlineStr">
        <is>
          <t>ถูก</t>
        </is>
      </c>
      <c r="L4" s="4" t="inlineStr">
        <is>
          <t>ถูกทั้งคู่</t>
        </is>
      </c>
    </row>
    <row r="5">
      <c r="A5" s="3" t="n">
        <v>3</v>
      </c>
      <c r="B5" s="4" t="inlineStr">
        <is>
          <t>https://www.facebook.com</t>
        </is>
      </c>
      <c r="C5" s="3" t="inlineStr">
        <is>
          <t>safe</t>
        </is>
      </c>
      <c r="D5" s="4" t="inlineStr">
        <is>
          <t>global_popular</t>
        </is>
      </c>
      <c r="E5" s="5" t="inlineStr">
        <is>
          <t>green</t>
        </is>
      </c>
      <c r="F5" s="3" t="n">
        <v>0</v>
      </c>
      <c r="G5" s="4" t="inlineStr">
        <is>
          <t>verified_brand</t>
        </is>
      </c>
      <c r="H5" s="6" t="inlineStr">
        <is>
          <t>ถูก</t>
        </is>
      </c>
      <c r="I5" s="7" t="n">
        <v>0.2964105063824573</v>
      </c>
      <c r="J5" s="5" t="inlineStr">
        <is>
          <t>not_red</t>
        </is>
      </c>
      <c r="K5" s="6" t="inlineStr">
        <is>
          <t>ถูก</t>
        </is>
      </c>
      <c r="L5" s="4" t="inlineStr">
        <is>
          <t>ถูกทั้งคู่</t>
        </is>
      </c>
    </row>
    <row r="6">
      <c r="A6" s="3" t="n">
        <v>4</v>
      </c>
      <c r="B6" s="4" t="inlineStr">
        <is>
          <t>https://github.com</t>
        </is>
      </c>
      <c r="C6" s="3" t="inlineStr">
        <is>
          <t>safe</t>
        </is>
      </c>
      <c r="D6" s="4" t="inlineStr">
        <is>
          <t>global_popular</t>
        </is>
      </c>
      <c r="E6" s="5" t="inlineStr">
        <is>
          <t>green</t>
        </is>
      </c>
      <c r="F6" s="3" t="n">
        <v>0</v>
      </c>
      <c r="G6" s="4" t="inlineStr">
        <is>
          <t>verified_brand</t>
        </is>
      </c>
      <c r="H6" s="6" t="inlineStr">
        <is>
          <t>ถูก</t>
        </is>
      </c>
      <c r="I6" s="7" t="n">
        <v>0.6392360099276198</v>
      </c>
      <c r="J6" s="5" t="inlineStr">
        <is>
          <t>not_red</t>
        </is>
      </c>
      <c r="K6" s="6" t="inlineStr">
        <is>
          <t>ถูก</t>
        </is>
      </c>
      <c r="L6" s="4" t="inlineStr">
        <is>
          <t>ถูกทั้งคู่</t>
        </is>
      </c>
    </row>
    <row r="7">
      <c r="A7" s="3" t="n">
        <v>5</v>
      </c>
      <c r="B7" s="4" t="inlineStr">
        <is>
          <t>https://www.amazon.com</t>
        </is>
      </c>
      <c r="C7" s="3" t="inlineStr">
        <is>
          <t>safe</t>
        </is>
      </c>
      <c r="D7" s="4" t="inlineStr">
        <is>
          <t>global_popular</t>
        </is>
      </c>
      <c r="E7" s="5" t="inlineStr">
        <is>
          <t>green</t>
        </is>
      </c>
      <c r="F7" s="3" t="n">
        <v>0</v>
      </c>
      <c r="G7" s="4" t="inlineStr">
        <is>
          <t>verified_brand</t>
        </is>
      </c>
      <c r="H7" s="6" t="inlineStr">
        <is>
          <t>ถูก</t>
        </is>
      </c>
      <c r="I7" s="7" t="n">
        <v>0.309614456460773</v>
      </c>
      <c r="J7" s="5" t="inlineStr">
        <is>
          <t>not_red</t>
        </is>
      </c>
      <c r="K7" s="6" t="inlineStr">
        <is>
          <t>ถูก</t>
        </is>
      </c>
      <c r="L7" s="4" t="inlineStr">
        <is>
          <t>ถูกทั้งคู่</t>
        </is>
      </c>
    </row>
    <row r="8">
      <c r="A8" s="3" t="n">
        <v>6</v>
      </c>
      <c r="B8" s="4" t="inlineStr">
        <is>
          <t>https://www.netflix.com</t>
        </is>
      </c>
      <c r="C8" s="3" t="inlineStr">
        <is>
          <t>safe</t>
        </is>
      </c>
      <c r="D8" s="4" t="inlineStr">
        <is>
          <t>global_popular</t>
        </is>
      </c>
      <c r="E8" s="5" t="inlineStr">
        <is>
          <t>green</t>
        </is>
      </c>
      <c r="F8" s="3" t="n">
        <v>0</v>
      </c>
      <c r="G8" s="4" t="inlineStr">
        <is>
          <t>verified_brand</t>
        </is>
      </c>
      <c r="H8" s="6" t="inlineStr">
        <is>
          <t>ถูก</t>
        </is>
      </c>
      <c r="I8" s="7" t="n">
        <v>0.3654546212726807</v>
      </c>
      <c r="J8" s="5" t="inlineStr">
        <is>
          <t>not_red</t>
        </is>
      </c>
      <c r="K8" s="6" t="inlineStr">
        <is>
          <t>ถูก</t>
        </is>
      </c>
      <c r="L8" s="4" t="inlineStr">
        <is>
          <t>ถูกทั้งคู่</t>
        </is>
      </c>
    </row>
    <row r="9">
      <c r="A9" s="3" t="n">
        <v>7</v>
      </c>
      <c r="B9" s="4" t="inlineStr">
        <is>
          <t>https://www.linkedin.com</t>
        </is>
      </c>
      <c r="C9" s="3" t="inlineStr">
        <is>
          <t>safe</t>
        </is>
      </c>
      <c r="D9" s="4" t="inlineStr">
        <is>
          <t>global_popular</t>
        </is>
      </c>
      <c r="E9" s="5" t="inlineStr">
        <is>
          <t>green</t>
        </is>
      </c>
      <c r="F9" s="3" t="n">
        <v>0</v>
      </c>
      <c r="G9" s="4" t="inlineStr">
        <is>
          <t>verified_brand</t>
        </is>
      </c>
      <c r="H9" s="6" t="inlineStr">
        <is>
          <t>ถูก</t>
        </is>
      </c>
      <c r="I9" s="7" t="n">
        <v>0.3303906566778237</v>
      </c>
      <c r="J9" s="5" t="inlineStr">
        <is>
          <t>not_red</t>
        </is>
      </c>
      <c r="K9" s="6" t="inlineStr">
        <is>
          <t>ถูก</t>
        </is>
      </c>
      <c r="L9" s="4" t="inlineStr">
        <is>
          <t>ถูกทั้งคู่</t>
        </is>
      </c>
    </row>
    <row r="10">
      <c r="A10" s="3" t="n">
        <v>8</v>
      </c>
      <c r="B10" s="4" t="inlineStr">
        <is>
          <t>https://www.instagram.com</t>
        </is>
      </c>
      <c r="C10" s="3" t="inlineStr">
        <is>
          <t>safe</t>
        </is>
      </c>
      <c r="D10" s="4" t="inlineStr">
        <is>
          <t>global_popular</t>
        </is>
      </c>
      <c r="E10" s="5" t="inlineStr">
        <is>
          <t>green</t>
        </is>
      </c>
      <c r="F10" s="3" t="n">
        <v>0</v>
      </c>
      <c r="G10" s="4" t="inlineStr">
        <is>
          <t>verified_brand</t>
        </is>
      </c>
      <c r="H10" s="6" t="inlineStr">
        <is>
          <t>ถูก</t>
        </is>
      </c>
      <c r="I10" s="7" t="n">
        <v>0.3341073480263933</v>
      </c>
      <c r="J10" s="5" t="inlineStr">
        <is>
          <t>not_red</t>
        </is>
      </c>
      <c r="K10" s="6" t="inlineStr">
        <is>
          <t>ถูก</t>
        </is>
      </c>
      <c r="L10" s="4" t="inlineStr">
        <is>
          <t>ถูกทั้งคู่</t>
        </is>
      </c>
    </row>
    <row r="11">
      <c r="A11" s="3" t="n">
        <v>9</v>
      </c>
      <c r="B11" s="4" t="inlineStr">
        <is>
          <t>https://www.microsoft.com</t>
        </is>
      </c>
      <c r="C11" s="3" t="inlineStr">
        <is>
          <t>safe</t>
        </is>
      </c>
      <c r="D11" s="4" t="inlineStr">
        <is>
          <t>global_popular</t>
        </is>
      </c>
      <c r="E11" s="5" t="inlineStr">
        <is>
          <t>green</t>
        </is>
      </c>
      <c r="F11" s="3" t="n">
        <v>0</v>
      </c>
      <c r="G11" s="4" t="inlineStr">
        <is>
          <t>verified_brand</t>
        </is>
      </c>
      <c r="H11" s="6" t="inlineStr">
        <is>
          <t>ถูก</t>
        </is>
      </c>
      <c r="I11" s="7" t="n">
        <v>0.3292962750460988</v>
      </c>
      <c r="J11" s="5" t="inlineStr">
        <is>
          <t>not_red</t>
        </is>
      </c>
      <c r="K11" s="6" t="inlineStr">
        <is>
          <t>ถูก</t>
        </is>
      </c>
      <c r="L11" s="4" t="inlineStr">
        <is>
          <t>ถูกทั้งคู่</t>
        </is>
      </c>
    </row>
    <row r="12">
      <c r="A12" s="3" t="n">
        <v>10</v>
      </c>
      <c r="B12" s="4" t="inlineStr">
        <is>
          <t>https://www.apple.com</t>
        </is>
      </c>
      <c r="C12" s="3" t="inlineStr">
        <is>
          <t>safe</t>
        </is>
      </c>
      <c r="D12" s="4" t="inlineStr">
        <is>
          <t>global_popular</t>
        </is>
      </c>
      <c r="E12" s="5" t="inlineStr">
        <is>
          <t>green</t>
        </is>
      </c>
      <c r="F12" s="3" t="n">
        <v>0</v>
      </c>
      <c r="G12" s="4" t="inlineStr">
        <is>
          <t>verified_brand</t>
        </is>
      </c>
      <c r="H12" s="6" t="inlineStr">
        <is>
          <t>ถูก</t>
        </is>
      </c>
      <c r="I12" s="7" t="n">
        <v>0.3464413599679815</v>
      </c>
      <c r="J12" s="5" t="inlineStr">
        <is>
          <t>not_red</t>
        </is>
      </c>
      <c r="K12" s="6" t="inlineStr">
        <is>
          <t>ถูก</t>
        </is>
      </c>
      <c r="L12" s="4" t="inlineStr">
        <is>
          <t>ถูกทั้งคู่</t>
        </is>
      </c>
    </row>
    <row r="13">
      <c r="A13" s="3" t="n">
        <v>11</v>
      </c>
      <c r="B13" s="4" t="inlineStr">
        <is>
          <t>https://www.wikipedia.org</t>
        </is>
      </c>
      <c r="C13" s="3" t="inlineStr">
        <is>
          <t>safe</t>
        </is>
      </c>
      <c r="D13" s="4" t="inlineStr">
        <is>
          <t>global_outside</t>
        </is>
      </c>
      <c r="E13" s="5" t="inlineStr">
        <is>
          <t>green</t>
        </is>
      </c>
      <c r="F13" s="3" t="n">
        <v>0</v>
      </c>
      <c r="G13" s="4" t="inlineStr">
        <is>
          <t>popular_domain</t>
        </is>
      </c>
      <c r="H13" s="6" t="inlineStr">
        <is>
          <t>ถูก</t>
        </is>
      </c>
      <c r="I13" s="7" t="n">
        <v>0.2758550455476407</v>
      </c>
      <c r="J13" s="5" t="inlineStr">
        <is>
          <t>not_red</t>
        </is>
      </c>
      <c r="K13" s="6" t="inlineStr">
        <is>
          <t>ถูก</t>
        </is>
      </c>
      <c r="L13" s="4" t="inlineStr">
        <is>
          <t>ถูกทั้งคู่</t>
        </is>
      </c>
    </row>
    <row r="14">
      <c r="A14" s="3" t="n">
        <v>12</v>
      </c>
      <c r="B14" s="4" t="inlineStr">
        <is>
          <t>https://stackoverflow.com</t>
        </is>
      </c>
      <c r="C14" s="3" t="inlineStr">
        <is>
          <t>safe</t>
        </is>
      </c>
      <c r="D14" s="4" t="inlineStr">
        <is>
          <t>global_outside</t>
        </is>
      </c>
      <c r="E14" s="5" t="inlineStr">
        <is>
          <t>green</t>
        </is>
      </c>
      <c r="F14" s="3" t="n">
        <v>0</v>
      </c>
      <c r="G14" s="4" t="inlineStr">
        <is>
          <t>popular_domain</t>
        </is>
      </c>
      <c r="H14" s="6" t="inlineStr">
        <is>
          <t>ถูก</t>
        </is>
      </c>
      <c r="I14" s="7" t="n">
        <v>0.5844370202546901</v>
      </c>
      <c r="J14" s="5" t="inlineStr">
        <is>
          <t>not_red</t>
        </is>
      </c>
      <c r="K14" s="6" t="inlineStr">
        <is>
          <t>ถูก</t>
        </is>
      </c>
      <c r="L14" s="4" t="inlineStr">
        <is>
          <t>ถูกทั้งคู่</t>
        </is>
      </c>
    </row>
    <row r="15">
      <c r="A15" s="3" t="n">
        <v>13</v>
      </c>
      <c r="B15" s="4" t="inlineStr">
        <is>
          <t>https://www.reddit.com</t>
        </is>
      </c>
      <c r="C15" s="3" t="inlineStr">
        <is>
          <t>safe</t>
        </is>
      </c>
      <c r="D15" s="4" t="inlineStr">
        <is>
          <t>global_outside</t>
        </is>
      </c>
      <c r="E15" s="5" t="inlineStr">
        <is>
          <t>green</t>
        </is>
      </c>
      <c r="F15" s="3" t="n">
        <v>0</v>
      </c>
      <c r="G15" s="4" t="inlineStr">
        <is>
          <t>popular_domain</t>
        </is>
      </c>
      <c r="H15" s="6" t="inlineStr">
        <is>
          <t>ถูก</t>
        </is>
      </c>
      <c r="I15" s="7" t="n">
        <v>0.3573560829522514</v>
      </c>
      <c r="J15" s="5" t="inlineStr">
        <is>
          <t>not_red</t>
        </is>
      </c>
      <c r="K15" s="6" t="inlineStr">
        <is>
          <t>ถูก</t>
        </is>
      </c>
      <c r="L15" s="4" t="inlineStr">
        <is>
          <t>ถูกทั้งคู่</t>
        </is>
      </c>
    </row>
    <row r="16">
      <c r="A16" s="3" t="n">
        <v>14</v>
      </c>
      <c r="B16" s="4" t="inlineStr">
        <is>
          <t>https://www.bbc.com</t>
        </is>
      </c>
      <c r="C16" s="3" t="inlineStr">
        <is>
          <t>safe</t>
        </is>
      </c>
      <c r="D16" s="4" t="inlineStr">
        <is>
          <t>global_outside</t>
        </is>
      </c>
      <c r="E16" s="5" t="inlineStr">
        <is>
          <t>green</t>
        </is>
      </c>
      <c r="F16" s="3" t="n">
        <v>0</v>
      </c>
      <c r="G16" s="4" t="inlineStr">
        <is>
          <t>popular_domain</t>
        </is>
      </c>
      <c r="H16" s="6" t="inlineStr">
        <is>
          <t>ถูก</t>
        </is>
      </c>
      <c r="I16" s="7" t="n">
        <v>0.4671891900041259</v>
      </c>
      <c r="J16" s="5" t="inlineStr">
        <is>
          <t>not_red</t>
        </is>
      </c>
      <c r="K16" s="6" t="inlineStr">
        <is>
          <t>ถูก</t>
        </is>
      </c>
      <c r="L16" s="4" t="inlineStr">
        <is>
          <t>ถูกทั้งคู่</t>
        </is>
      </c>
    </row>
    <row r="17">
      <c r="A17" s="3" t="n">
        <v>15</v>
      </c>
      <c r="B17" s="4" t="inlineStr">
        <is>
          <t>https://www.cloudflare.com</t>
        </is>
      </c>
      <c r="C17" s="3" t="inlineStr">
        <is>
          <t>safe</t>
        </is>
      </c>
      <c r="D17" s="4" t="inlineStr">
        <is>
          <t>global_outside</t>
        </is>
      </c>
      <c r="E17" s="5" t="inlineStr">
        <is>
          <t>green</t>
        </is>
      </c>
      <c r="F17" s="3" t="n">
        <v>0</v>
      </c>
      <c r="G17" s="4" t="inlineStr">
        <is>
          <t>popular_domain</t>
        </is>
      </c>
      <c r="H17" s="6" t="inlineStr">
        <is>
          <t>ถูก</t>
        </is>
      </c>
      <c r="I17" s="7" t="n">
        <v>0.3083924760718416</v>
      </c>
      <c r="J17" s="5" t="inlineStr">
        <is>
          <t>not_red</t>
        </is>
      </c>
      <c r="K17" s="6" t="inlineStr">
        <is>
          <t>ถูก</t>
        </is>
      </c>
      <c r="L17" s="4" t="inlineStr">
        <is>
          <t>ถูกทั้งคู่</t>
        </is>
      </c>
    </row>
    <row r="18">
      <c r="A18" s="3" t="n">
        <v>16</v>
      </c>
      <c r="B18" s="4" t="inlineStr">
        <is>
          <t>https://www.python.org</t>
        </is>
      </c>
      <c r="C18" s="3" t="inlineStr">
        <is>
          <t>safe</t>
        </is>
      </c>
      <c r="D18" s="4" t="inlineStr">
        <is>
          <t>global_outside</t>
        </is>
      </c>
      <c r="E18" s="5" t="inlineStr">
        <is>
          <t>green</t>
        </is>
      </c>
      <c r="F18" s="3" t="n">
        <v>0</v>
      </c>
      <c r="G18" s="4" t="inlineStr">
        <is>
          <t>popular_domain</t>
        </is>
      </c>
      <c r="H18" s="6" t="inlineStr">
        <is>
          <t>ถูก</t>
        </is>
      </c>
      <c r="I18" s="7" t="n">
        <v>0.471842678769968</v>
      </c>
      <c r="J18" s="5" t="inlineStr">
        <is>
          <t>not_red</t>
        </is>
      </c>
      <c r="K18" s="6" t="inlineStr">
        <is>
          <t>ถูก</t>
        </is>
      </c>
      <c r="L18" s="4" t="inlineStr">
        <is>
          <t>ถูกทั้งคู่</t>
        </is>
      </c>
    </row>
    <row r="19">
      <c r="A19" s="3" t="n">
        <v>17</v>
      </c>
      <c r="B19" s="4" t="inlineStr">
        <is>
          <t>https://developer.mozilla.org</t>
        </is>
      </c>
      <c r="C19" s="3" t="inlineStr">
        <is>
          <t>safe</t>
        </is>
      </c>
      <c r="D19" s="4" t="inlineStr">
        <is>
          <t>global_outside</t>
        </is>
      </c>
      <c r="E19" s="5" t="inlineStr">
        <is>
          <t>green</t>
        </is>
      </c>
      <c r="F19" s="3" t="n">
        <v>0</v>
      </c>
      <c r="G19" s="4" t="inlineStr">
        <is>
          <t>popular_domain</t>
        </is>
      </c>
      <c r="H19" s="6" t="inlineStr">
        <is>
          <t>ถูก</t>
        </is>
      </c>
      <c r="I19" s="7" t="n">
        <v>0.9723888934605316</v>
      </c>
      <c r="J19" s="5" t="inlineStr">
        <is>
          <t>not_red</t>
        </is>
      </c>
      <c r="K19" s="6" t="inlineStr">
        <is>
          <t>ถูก</t>
        </is>
      </c>
      <c r="L19" s="4" t="inlineStr">
        <is>
          <t>ถูกทั้งคู่</t>
        </is>
      </c>
    </row>
    <row r="20">
      <c r="A20" s="3" t="n">
        <v>18</v>
      </c>
      <c r="B20" s="4" t="inlineStr">
        <is>
          <t>https://www.nytimes.com</t>
        </is>
      </c>
      <c r="C20" s="3" t="inlineStr">
        <is>
          <t>safe</t>
        </is>
      </c>
      <c r="D20" s="4" t="inlineStr">
        <is>
          <t>global_outside</t>
        </is>
      </c>
      <c r="E20" s="5" t="inlineStr">
        <is>
          <t>green</t>
        </is>
      </c>
      <c r="F20" s="3" t="n">
        <v>0</v>
      </c>
      <c r="G20" s="4" t="inlineStr">
        <is>
          <t>popular_domain</t>
        </is>
      </c>
      <c r="H20" s="6" t="inlineStr">
        <is>
          <t>ถูก</t>
        </is>
      </c>
      <c r="I20" s="7" t="n">
        <v>0.3630587411288674</v>
      </c>
      <c r="J20" s="5" t="inlineStr">
        <is>
          <t>not_red</t>
        </is>
      </c>
      <c r="K20" s="6" t="inlineStr">
        <is>
          <t>ถูก</t>
        </is>
      </c>
      <c r="L20" s="4" t="inlineStr">
        <is>
          <t>ถูกทั้งคู่</t>
        </is>
      </c>
    </row>
    <row r="21">
      <c r="A21" s="3" t="n">
        <v>19</v>
      </c>
      <c r="B21" s="4" t="inlineStr">
        <is>
          <t>https://arxiv.org</t>
        </is>
      </c>
      <c r="C21" s="3" t="inlineStr">
        <is>
          <t>safe</t>
        </is>
      </c>
      <c r="D21" s="4" t="inlineStr">
        <is>
          <t>global_outside</t>
        </is>
      </c>
      <c r="E21" s="5" t="inlineStr">
        <is>
          <t>green</t>
        </is>
      </c>
      <c r="F21" s="3" t="n">
        <v>0</v>
      </c>
      <c r="G21" s="4" t="inlineStr">
        <is>
          <t>popular_domain</t>
        </is>
      </c>
      <c r="H21" s="6" t="inlineStr">
        <is>
          <t>ถูก</t>
        </is>
      </c>
      <c r="I21" s="7" t="n">
        <v>0.624145083840326</v>
      </c>
      <c r="J21" s="5" t="inlineStr">
        <is>
          <t>not_red</t>
        </is>
      </c>
      <c r="K21" s="6" t="inlineStr">
        <is>
          <t>ถูก</t>
        </is>
      </c>
      <c r="L21" s="4" t="inlineStr">
        <is>
          <t>ถูกทั้งคู่</t>
        </is>
      </c>
    </row>
    <row r="22">
      <c r="A22" s="3" t="n">
        <v>20</v>
      </c>
      <c r="B22" s="4" t="inlineStr">
        <is>
          <t>https://wordpress.org</t>
        </is>
      </c>
      <c r="C22" s="3" t="inlineStr">
        <is>
          <t>safe</t>
        </is>
      </c>
      <c r="D22" s="4" t="inlineStr">
        <is>
          <t>global_outside</t>
        </is>
      </c>
      <c r="E22" s="5" t="inlineStr">
        <is>
          <t>green</t>
        </is>
      </c>
      <c r="F22" s="3" t="n">
        <v>0</v>
      </c>
      <c r="G22" s="4" t="inlineStr">
        <is>
          <t>popular_domain</t>
        </is>
      </c>
      <c r="H22" s="6" t="inlineStr">
        <is>
          <t>ถูก</t>
        </is>
      </c>
      <c r="I22" s="7" t="n">
        <v>0.6974105958661645</v>
      </c>
      <c r="J22" s="5" t="inlineStr">
        <is>
          <t>not_red</t>
        </is>
      </c>
      <c r="K22" s="6" t="inlineStr">
        <is>
          <t>ถูก</t>
        </is>
      </c>
      <c r="L22" s="4" t="inlineStr">
        <is>
          <t>ถูกทั้งคู่</t>
        </is>
      </c>
    </row>
    <row r="23">
      <c r="A23" s="3" t="n">
        <v>21</v>
      </c>
      <c r="B23" s="4" t="inlineStr">
        <is>
          <t>https://news.ycombinator.com</t>
        </is>
      </c>
      <c r="C23" s="3" t="inlineStr">
        <is>
          <t>safe</t>
        </is>
      </c>
      <c r="D23" s="4" t="inlineStr">
        <is>
          <t>global_outside</t>
        </is>
      </c>
      <c r="E23" s="5" t="inlineStr">
        <is>
          <t>green</t>
        </is>
      </c>
      <c r="F23" s="3" t="n">
        <v>0</v>
      </c>
      <c r="G23" s="4" t="inlineStr">
        <is>
          <t>popular_domain</t>
        </is>
      </c>
      <c r="H23" s="6" t="inlineStr">
        <is>
          <t>ถูก</t>
        </is>
      </c>
      <c r="I23" s="7" t="n">
        <v>0.5743083122475694</v>
      </c>
      <c r="J23" s="5" t="inlineStr">
        <is>
          <t>not_red</t>
        </is>
      </c>
      <c r="K23" s="6" t="inlineStr">
        <is>
          <t>ถูก</t>
        </is>
      </c>
      <c r="L23" s="4" t="inlineStr">
        <is>
          <t>ถูกทั้งคู่</t>
        </is>
      </c>
    </row>
    <row r="24">
      <c r="A24" s="3" t="n">
        <v>22</v>
      </c>
      <c r="B24" s="4" t="inlineStr">
        <is>
          <t>https://www.who.int</t>
        </is>
      </c>
      <c r="C24" s="3" t="inlineStr">
        <is>
          <t>safe</t>
        </is>
      </c>
      <c r="D24" s="4" t="inlineStr">
        <is>
          <t>global_outside</t>
        </is>
      </c>
      <c r="E24" s="5" t="inlineStr">
        <is>
          <t>green</t>
        </is>
      </c>
      <c r="F24" s="3" t="n">
        <v>0</v>
      </c>
      <c r="G24" s="4" t="inlineStr">
        <is>
          <t>popular_domain</t>
        </is>
      </c>
      <c r="H24" s="6" t="inlineStr">
        <is>
          <t>ถูก</t>
        </is>
      </c>
      <c r="I24" s="7" t="n">
        <v>0.3747493638181928</v>
      </c>
      <c r="J24" s="5" t="inlineStr">
        <is>
          <t>not_red</t>
        </is>
      </c>
      <c r="K24" s="6" t="inlineStr">
        <is>
          <t>ถูก</t>
        </is>
      </c>
      <c r="L24" s="4" t="inlineStr">
        <is>
          <t>ถูกทั้งคู่</t>
        </is>
      </c>
    </row>
    <row r="25">
      <c r="A25" s="3" t="n">
        <v>23</v>
      </c>
      <c r="B25" s="4" t="inlineStr">
        <is>
          <t>https://www.un.org</t>
        </is>
      </c>
      <c r="C25" s="3" t="inlineStr">
        <is>
          <t>safe</t>
        </is>
      </c>
      <c r="D25" s="4" t="inlineStr">
        <is>
          <t>global_outside</t>
        </is>
      </c>
      <c r="E25" s="5" t="inlineStr">
        <is>
          <t>green</t>
        </is>
      </c>
      <c r="F25" s="3" t="n">
        <v>0</v>
      </c>
      <c r="G25" s="4" t="inlineStr">
        <is>
          <t>popular_domain</t>
        </is>
      </c>
      <c r="H25" s="6" t="inlineStr">
        <is>
          <t>ถูก</t>
        </is>
      </c>
      <c r="I25" s="7" t="n">
        <v>0.143517690268685</v>
      </c>
      <c r="J25" s="5" t="inlineStr">
        <is>
          <t>not_red</t>
        </is>
      </c>
      <c r="K25" s="6" t="inlineStr">
        <is>
          <t>ถูก</t>
        </is>
      </c>
      <c r="L25" s="4" t="inlineStr">
        <is>
          <t>ถูกทั้งคู่</t>
        </is>
      </c>
    </row>
    <row r="26">
      <c r="A26" s="3" t="n">
        <v>24</v>
      </c>
      <c r="B26" s="4" t="inlineStr">
        <is>
          <t>https://www.nature.com</t>
        </is>
      </c>
      <c r="C26" s="3" t="inlineStr">
        <is>
          <t>safe</t>
        </is>
      </c>
      <c r="D26" s="4" t="inlineStr">
        <is>
          <t>global_outside</t>
        </is>
      </c>
      <c r="E26" s="5" t="inlineStr">
        <is>
          <t>green</t>
        </is>
      </c>
      <c r="F26" s="3" t="n">
        <v>0</v>
      </c>
      <c r="G26" s="4" t="inlineStr">
        <is>
          <t>popular_domain</t>
        </is>
      </c>
      <c r="H26" s="6" t="inlineStr">
        <is>
          <t>ถูก</t>
        </is>
      </c>
      <c r="I26" s="7" t="n">
        <v>0.3167675263140157</v>
      </c>
      <c r="J26" s="5" t="inlineStr">
        <is>
          <t>not_red</t>
        </is>
      </c>
      <c r="K26" s="6" t="inlineStr">
        <is>
          <t>ถูก</t>
        </is>
      </c>
      <c r="L26" s="4" t="inlineStr">
        <is>
          <t>ถูกทั้งคู่</t>
        </is>
      </c>
    </row>
    <row r="27">
      <c r="A27" s="3" t="n">
        <v>25</v>
      </c>
      <c r="B27" s="4" t="inlineStr">
        <is>
          <t>https://www.ieee.org</t>
        </is>
      </c>
      <c r="C27" s="3" t="inlineStr">
        <is>
          <t>safe</t>
        </is>
      </c>
      <c r="D27" s="4" t="inlineStr">
        <is>
          <t>global_outside</t>
        </is>
      </c>
      <c r="E27" s="5" t="inlineStr">
        <is>
          <t>green</t>
        </is>
      </c>
      <c r="F27" s="3" t="n">
        <v>0</v>
      </c>
      <c r="G27" s="4" t="inlineStr">
        <is>
          <t>popular_domain</t>
        </is>
      </c>
      <c r="H27" s="6" t="inlineStr">
        <is>
          <t>ถูก</t>
        </is>
      </c>
      <c r="I27" s="7" t="n">
        <v>0.2109945731372107</v>
      </c>
      <c r="J27" s="5" t="inlineStr">
        <is>
          <t>not_red</t>
        </is>
      </c>
      <c r="K27" s="6" t="inlineStr">
        <is>
          <t>ถูก</t>
        </is>
      </c>
      <c r="L27" s="4" t="inlineStr">
        <is>
          <t>ถูกทั้งคู่</t>
        </is>
      </c>
    </row>
    <row r="28">
      <c r="A28" s="3" t="n">
        <v>26</v>
      </c>
      <c r="B28" s="4" t="inlineStr">
        <is>
          <t>https://www.scb.co.th</t>
        </is>
      </c>
      <c r="C28" s="3" t="inlineStr">
        <is>
          <t>safe</t>
        </is>
      </c>
      <c r="D28" s="4" t="inlineStr">
        <is>
          <t>thai_bank</t>
        </is>
      </c>
      <c r="E28" s="5" t="inlineStr">
        <is>
          <t>green</t>
        </is>
      </c>
      <c r="F28" s="3" t="n">
        <v>0</v>
      </c>
      <c r="G28" s="4" t="inlineStr">
        <is>
          <t>verified_brand</t>
        </is>
      </c>
      <c r="H28" s="6" t="inlineStr">
        <is>
          <t>ถูก</t>
        </is>
      </c>
      <c r="I28" s="7" t="n">
        <v>0.1314997976055894</v>
      </c>
      <c r="J28" s="5" t="inlineStr">
        <is>
          <t>not_red</t>
        </is>
      </c>
      <c r="K28" s="6" t="inlineStr">
        <is>
          <t>ถูก</t>
        </is>
      </c>
      <c r="L28" s="4" t="inlineStr">
        <is>
          <t>ถูกทั้งคู่</t>
        </is>
      </c>
    </row>
    <row r="29">
      <c r="A29" s="3" t="n">
        <v>27</v>
      </c>
      <c r="B29" s="4" t="inlineStr">
        <is>
          <t>https://www.kasikornbank.com</t>
        </is>
      </c>
      <c r="C29" s="3" t="inlineStr">
        <is>
          <t>safe</t>
        </is>
      </c>
      <c r="D29" s="4" t="inlineStr">
        <is>
          <t>thai_bank</t>
        </is>
      </c>
      <c r="E29" s="5" t="inlineStr">
        <is>
          <t>green</t>
        </is>
      </c>
      <c r="F29" s="3" t="n">
        <v>0</v>
      </c>
      <c r="G29" s="4" t="inlineStr">
        <is>
          <t>verified_brand</t>
        </is>
      </c>
      <c r="H29" s="6" t="inlineStr">
        <is>
          <t>ถูก</t>
        </is>
      </c>
      <c r="I29" s="7" t="n">
        <v>0.3069762040778862</v>
      </c>
      <c r="J29" s="5" t="inlineStr">
        <is>
          <t>not_red</t>
        </is>
      </c>
      <c r="K29" s="6" t="inlineStr">
        <is>
          <t>ถูก</t>
        </is>
      </c>
      <c r="L29" s="4" t="inlineStr">
        <is>
          <t>ถูกทั้งคู่</t>
        </is>
      </c>
    </row>
    <row r="30">
      <c r="A30" s="3" t="n">
        <v>28</v>
      </c>
      <c r="B30" s="4" t="inlineStr">
        <is>
          <t>https://krungthai.com</t>
        </is>
      </c>
      <c r="C30" s="3" t="inlineStr">
        <is>
          <t>safe</t>
        </is>
      </c>
      <c r="D30" s="4" t="inlineStr">
        <is>
          <t>thai_bank</t>
        </is>
      </c>
      <c r="E30" s="5" t="inlineStr">
        <is>
          <t>green</t>
        </is>
      </c>
      <c r="F30" s="3" t="n">
        <v>0</v>
      </c>
      <c r="G30" s="4" t="inlineStr">
        <is>
          <t>verified_brand</t>
        </is>
      </c>
      <c r="H30" s="6" t="inlineStr">
        <is>
          <t>ถูก</t>
        </is>
      </c>
      <c r="I30" s="7" t="n">
        <v>0.6810624332106567</v>
      </c>
      <c r="J30" s="5" t="inlineStr">
        <is>
          <t>not_red</t>
        </is>
      </c>
      <c r="K30" s="6" t="inlineStr">
        <is>
          <t>ถูก</t>
        </is>
      </c>
      <c r="L30" s="4" t="inlineStr">
        <is>
          <t>ถูกทั้งคู่</t>
        </is>
      </c>
    </row>
    <row r="31">
      <c r="A31" s="3" t="n">
        <v>29</v>
      </c>
      <c r="B31" s="4" t="inlineStr">
        <is>
          <t>https://www.bangkokbank.com</t>
        </is>
      </c>
      <c r="C31" s="3" t="inlineStr">
        <is>
          <t>safe</t>
        </is>
      </c>
      <c r="D31" s="4" t="inlineStr">
        <is>
          <t>thai_bank</t>
        </is>
      </c>
      <c r="E31" s="5" t="inlineStr">
        <is>
          <t>green</t>
        </is>
      </c>
      <c r="F31" s="3" t="n">
        <v>0</v>
      </c>
      <c r="G31" s="4" t="inlineStr">
        <is>
          <t>verified_brand</t>
        </is>
      </c>
      <c r="H31" s="6" t="inlineStr">
        <is>
          <t>ถูก</t>
        </is>
      </c>
      <c r="I31" s="7" t="n">
        <v>0.3273245951227345</v>
      </c>
      <c r="J31" s="5" t="inlineStr">
        <is>
          <t>not_red</t>
        </is>
      </c>
      <c r="K31" s="6" t="inlineStr">
        <is>
          <t>ถูก</t>
        </is>
      </c>
      <c r="L31" s="4" t="inlineStr">
        <is>
          <t>ถูกทั้งคู่</t>
        </is>
      </c>
    </row>
    <row r="32">
      <c r="A32" s="3" t="n">
        <v>30</v>
      </c>
      <c r="B32" s="4" t="inlineStr">
        <is>
          <t>https://www.gsb.or.th</t>
        </is>
      </c>
      <c r="C32" s="3" t="inlineStr">
        <is>
          <t>safe</t>
        </is>
      </c>
      <c r="D32" s="4" t="inlineStr">
        <is>
          <t>thai_bank</t>
        </is>
      </c>
      <c r="E32" s="5" t="inlineStr">
        <is>
          <t>green</t>
        </is>
      </c>
      <c r="F32" s="3" t="n">
        <v>0</v>
      </c>
      <c r="G32" s="4" t="inlineStr">
        <is>
          <t>verified_brand</t>
        </is>
      </c>
      <c r="H32" s="6" t="inlineStr">
        <is>
          <t>ถูก</t>
        </is>
      </c>
      <c r="I32" s="7" t="n">
        <v>0.132869194657124</v>
      </c>
      <c r="J32" s="5" t="inlineStr">
        <is>
          <t>not_red</t>
        </is>
      </c>
      <c r="K32" s="6" t="inlineStr">
        <is>
          <t>ถูก</t>
        </is>
      </c>
      <c r="L32" s="4" t="inlineStr">
        <is>
          <t>ถูกทั้งคู่</t>
        </is>
      </c>
    </row>
    <row r="33">
      <c r="A33" s="3" t="n">
        <v>31</v>
      </c>
      <c r="B33" s="4" t="inlineStr">
        <is>
          <t>https://www.baac.or.th</t>
        </is>
      </c>
      <c r="C33" s="3" t="inlineStr">
        <is>
          <t>safe</t>
        </is>
      </c>
      <c r="D33" s="4" t="inlineStr">
        <is>
          <t>thai_bank</t>
        </is>
      </c>
      <c r="E33" s="5" t="inlineStr">
        <is>
          <t>green</t>
        </is>
      </c>
      <c r="F33" s="3" t="n">
        <v>0</v>
      </c>
      <c r="G33" s="4" t="inlineStr">
        <is>
          <t>verified_brand</t>
        </is>
      </c>
      <c r="H33" s="6" t="inlineStr">
        <is>
          <t>ถูก</t>
        </is>
      </c>
      <c r="I33" s="7" t="n">
        <v>0.07623992075187357</v>
      </c>
      <c r="J33" s="5" t="inlineStr">
        <is>
          <t>not_red</t>
        </is>
      </c>
      <c r="K33" s="6" t="inlineStr">
        <is>
          <t>ถูก</t>
        </is>
      </c>
      <c r="L33" s="4" t="inlineStr">
        <is>
          <t>ถูกทั้งคู่</t>
        </is>
      </c>
    </row>
    <row r="34">
      <c r="A34" s="3" t="n">
        <v>32</v>
      </c>
      <c r="B34" s="4" t="inlineStr">
        <is>
          <t>https://www.ttbbank.com</t>
        </is>
      </c>
      <c r="C34" s="3" t="inlineStr">
        <is>
          <t>safe</t>
        </is>
      </c>
      <c r="D34" s="4" t="inlineStr">
        <is>
          <t>thai_bank</t>
        </is>
      </c>
      <c r="E34" s="5" t="inlineStr">
        <is>
          <t>green</t>
        </is>
      </c>
      <c r="F34" s="3" t="n">
        <v>0</v>
      </c>
      <c r="G34" s="4" t="inlineStr">
        <is>
          <t>verified_brand</t>
        </is>
      </c>
      <c r="H34" s="6" t="inlineStr">
        <is>
          <t>ถูก</t>
        </is>
      </c>
      <c r="I34" s="7" t="n">
        <v>0.4685650907202645</v>
      </c>
      <c r="J34" s="5" t="inlineStr">
        <is>
          <t>not_red</t>
        </is>
      </c>
      <c r="K34" s="6" t="inlineStr">
        <is>
          <t>ถูก</t>
        </is>
      </c>
      <c r="L34" s="4" t="inlineStr">
        <is>
          <t>ถูกทั้งคู่</t>
        </is>
      </c>
    </row>
    <row r="35">
      <c r="A35" s="3" t="n">
        <v>33</v>
      </c>
      <c r="B35" s="4" t="inlineStr">
        <is>
          <t>https://www.uob.co.th</t>
        </is>
      </c>
      <c r="C35" s="3" t="inlineStr">
        <is>
          <t>safe</t>
        </is>
      </c>
      <c r="D35" s="4" t="inlineStr">
        <is>
          <t>thai_bank</t>
        </is>
      </c>
      <c r="E35" s="5" t="inlineStr">
        <is>
          <t>green</t>
        </is>
      </c>
      <c r="F35" s="3" t="n">
        <v>0</v>
      </c>
      <c r="G35" s="4" t="inlineStr">
        <is>
          <t>verified_brand</t>
        </is>
      </c>
      <c r="H35" s="6" t="inlineStr">
        <is>
          <t>ถูก</t>
        </is>
      </c>
      <c r="I35" s="7" t="n">
        <v>0.06541574697330983</v>
      </c>
      <c r="J35" s="5" t="inlineStr">
        <is>
          <t>not_red</t>
        </is>
      </c>
      <c r="K35" s="6" t="inlineStr">
        <is>
          <t>ถูก</t>
        </is>
      </c>
      <c r="L35" s="4" t="inlineStr">
        <is>
          <t>ถูกทั้งคู่</t>
        </is>
      </c>
    </row>
    <row r="36">
      <c r="A36" s="3" t="n">
        <v>34</v>
      </c>
      <c r="B36" s="4" t="inlineStr">
        <is>
          <t>https://www.bot.or.th</t>
        </is>
      </c>
      <c r="C36" s="3" t="inlineStr">
        <is>
          <t>safe</t>
        </is>
      </c>
      <c r="D36" s="4" t="inlineStr">
        <is>
          <t>thai_gov</t>
        </is>
      </c>
      <c r="E36" s="8" t="inlineStr">
        <is>
          <t>yellow</t>
        </is>
      </c>
      <c r="F36" s="3" t="n">
        <v>0</v>
      </c>
      <c r="G36" s="4" t="inlineStr">
        <is>
          <t>verified_org_tld</t>
        </is>
      </c>
      <c r="H36" s="6" t="inlineStr">
        <is>
          <t>ถูก</t>
        </is>
      </c>
      <c r="I36" s="7" t="n">
        <v>0.09233195320613603</v>
      </c>
      <c r="J36" s="5" t="inlineStr">
        <is>
          <t>not_red</t>
        </is>
      </c>
      <c r="K36" s="6" t="inlineStr">
        <is>
          <t>ถูก</t>
        </is>
      </c>
      <c r="L36" s="4" t="inlineStr">
        <is>
          <t>ถูกทั้งคู่</t>
        </is>
      </c>
    </row>
    <row r="37">
      <c r="A37" s="3" t="n">
        <v>35</v>
      </c>
      <c r="B37" s="4" t="inlineStr">
        <is>
          <t>https://www.set.or.th</t>
        </is>
      </c>
      <c r="C37" s="3" t="inlineStr">
        <is>
          <t>safe</t>
        </is>
      </c>
      <c r="D37" s="4" t="inlineStr">
        <is>
          <t>thai_gov</t>
        </is>
      </c>
      <c r="E37" s="5" t="inlineStr">
        <is>
          <t>green</t>
        </is>
      </c>
      <c r="F37" s="3" t="n">
        <v>0</v>
      </c>
      <c r="G37" s="4" t="inlineStr">
        <is>
          <t>verified_org_tld, popular_domain</t>
        </is>
      </c>
      <c r="H37" s="6" t="inlineStr">
        <is>
          <t>ถูก</t>
        </is>
      </c>
      <c r="I37" s="7" t="n">
        <v>0.09333730361601765</v>
      </c>
      <c r="J37" s="5" t="inlineStr">
        <is>
          <t>not_red</t>
        </is>
      </c>
      <c r="K37" s="6" t="inlineStr">
        <is>
          <t>ถูก</t>
        </is>
      </c>
      <c r="L37" s="4" t="inlineStr">
        <is>
          <t>ถูกทั้งคู่</t>
        </is>
      </c>
    </row>
    <row r="38">
      <c r="A38" s="3" t="n">
        <v>36</v>
      </c>
      <c r="B38" s="4" t="inlineStr">
        <is>
          <t>https://www.ncsa.or.th</t>
        </is>
      </c>
      <c r="C38" s="3" t="inlineStr">
        <is>
          <t>safe</t>
        </is>
      </c>
      <c r="D38" s="4" t="inlineStr">
        <is>
          <t>thai_gov</t>
        </is>
      </c>
      <c r="E38" s="8" t="inlineStr">
        <is>
          <t>yellow</t>
        </is>
      </c>
      <c r="F38" s="3" t="n">
        <v>0</v>
      </c>
      <c r="G38" s="4" t="inlineStr">
        <is>
          <t>verified_org_tld</t>
        </is>
      </c>
      <c r="H38" s="6" t="inlineStr">
        <is>
          <t>ถูก</t>
        </is>
      </c>
      <c r="I38" s="7" t="n">
        <v>0.1002778689991967</v>
      </c>
      <c r="J38" s="5" t="inlineStr">
        <is>
          <t>not_red</t>
        </is>
      </c>
      <c r="K38" s="6" t="inlineStr">
        <is>
          <t>ถูก</t>
        </is>
      </c>
      <c r="L38" s="4" t="inlineStr">
        <is>
          <t>ถูกทั้งคู่</t>
        </is>
      </c>
    </row>
    <row r="39">
      <c r="A39" s="3" t="n">
        <v>37</v>
      </c>
      <c r="B39" s="4" t="inlineStr">
        <is>
          <t>https://www.rd.go.th</t>
        </is>
      </c>
      <c r="C39" s="3" t="inlineStr">
        <is>
          <t>safe</t>
        </is>
      </c>
      <c r="D39" s="4" t="inlineStr">
        <is>
          <t>thai_gov</t>
        </is>
      </c>
      <c r="E39" s="5" t="inlineStr">
        <is>
          <t>green</t>
        </is>
      </c>
      <c r="F39" s="3" t="n">
        <v>0</v>
      </c>
      <c r="G39" s="4" t="inlineStr">
        <is>
          <t>restricted_tld, popular_domain</t>
        </is>
      </c>
      <c r="H39" s="6" t="inlineStr">
        <is>
          <t>ถูก</t>
        </is>
      </c>
      <c r="I39" s="7" t="n">
        <v>0.04840398342750182</v>
      </c>
      <c r="J39" s="5" t="inlineStr">
        <is>
          <t>not_red</t>
        </is>
      </c>
      <c r="K39" s="6" t="inlineStr">
        <is>
          <t>ถูก</t>
        </is>
      </c>
      <c r="L39" s="4" t="inlineStr">
        <is>
          <t>ถูกทั้งคู่</t>
        </is>
      </c>
    </row>
    <row r="40">
      <c r="A40" s="3" t="n">
        <v>38</v>
      </c>
      <c r="B40" s="4" t="inlineStr">
        <is>
          <t>https://www.moph.go.th</t>
        </is>
      </c>
      <c r="C40" s="3" t="inlineStr">
        <is>
          <t>safe</t>
        </is>
      </c>
      <c r="D40" s="4" t="inlineStr">
        <is>
          <t>thai_gov</t>
        </is>
      </c>
      <c r="E40" s="5" t="inlineStr">
        <is>
          <t>green</t>
        </is>
      </c>
      <c r="F40" s="3" t="n">
        <v>0</v>
      </c>
      <c r="G40" s="4" t="inlineStr">
        <is>
          <t>restricted_tld, popular_domain</t>
        </is>
      </c>
      <c r="H40" s="6" t="inlineStr">
        <is>
          <t>ถูก</t>
        </is>
      </c>
      <c r="I40" s="7" t="n">
        <v>0.09829527269600531</v>
      </c>
      <c r="J40" s="5" t="inlineStr">
        <is>
          <t>not_red</t>
        </is>
      </c>
      <c r="K40" s="6" t="inlineStr">
        <is>
          <t>ถูก</t>
        </is>
      </c>
      <c r="L40" s="4" t="inlineStr">
        <is>
          <t>ถูกทั้งคู่</t>
        </is>
      </c>
    </row>
    <row r="41">
      <c r="A41" s="3" t="n">
        <v>39</v>
      </c>
      <c r="B41" s="4" t="inlineStr">
        <is>
          <t>https://www.dopa.go.th</t>
        </is>
      </c>
      <c r="C41" s="3" t="inlineStr">
        <is>
          <t>safe</t>
        </is>
      </c>
      <c r="D41" s="4" t="inlineStr">
        <is>
          <t>thai_gov</t>
        </is>
      </c>
      <c r="E41" s="5" t="inlineStr">
        <is>
          <t>green</t>
        </is>
      </c>
      <c r="F41" s="3" t="n">
        <v>0</v>
      </c>
      <c r="G41" s="4" t="inlineStr">
        <is>
          <t>restricted_tld, popular_domain</t>
        </is>
      </c>
      <c r="H41" s="6" t="inlineStr">
        <is>
          <t>ถูก</t>
        </is>
      </c>
      <c r="I41" s="7" t="n">
        <v>0.07623992075187357</v>
      </c>
      <c r="J41" s="5" t="inlineStr">
        <is>
          <t>not_red</t>
        </is>
      </c>
      <c r="K41" s="6" t="inlineStr">
        <is>
          <t>ถูก</t>
        </is>
      </c>
      <c r="L41" s="4" t="inlineStr">
        <is>
          <t>ถูกทั้งคู่</t>
        </is>
      </c>
    </row>
    <row r="42">
      <c r="A42" s="3" t="n">
        <v>40</v>
      </c>
      <c r="B42" s="4" t="inlineStr">
        <is>
          <t>https://www.mof.go.th</t>
        </is>
      </c>
      <c r="C42" s="3" t="inlineStr">
        <is>
          <t>safe</t>
        </is>
      </c>
      <c r="D42" s="4" t="inlineStr">
        <is>
          <t>thai_gov</t>
        </is>
      </c>
      <c r="E42" s="5" t="inlineStr">
        <is>
          <t>green</t>
        </is>
      </c>
      <c r="F42" s="3" t="n">
        <v>0</v>
      </c>
      <c r="G42" s="4" t="inlineStr">
        <is>
          <t>restricted_tld, popular_domain</t>
        </is>
      </c>
      <c r="H42" s="6" t="inlineStr">
        <is>
          <t>ถูก</t>
        </is>
      </c>
      <c r="I42" s="7" t="n">
        <v>0.09333730361601765</v>
      </c>
      <c r="J42" s="5" t="inlineStr">
        <is>
          <t>not_red</t>
        </is>
      </c>
      <c r="K42" s="6" t="inlineStr">
        <is>
          <t>ถูก</t>
        </is>
      </c>
      <c r="L42" s="4" t="inlineStr">
        <is>
          <t>ถูกทั้งคู่</t>
        </is>
      </c>
    </row>
    <row r="43">
      <c r="A43" s="3" t="n">
        <v>41</v>
      </c>
      <c r="B43" s="4" t="inlineStr">
        <is>
          <t>https://www.mhesi.go.th</t>
        </is>
      </c>
      <c r="C43" s="3" t="inlineStr">
        <is>
          <t>safe</t>
        </is>
      </c>
      <c r="D43" s="4" t="inlineStr">
        <is>
          <t>thai_gov</t>
        </is>
      </c>
      <c r="E43" s="5" t="inlineStr">
        <is>
          <t>green</t>
        </is>
      </c>
      <c r="F43" s="3" t="n">
        <v>0</v>
      </c>
      <c r="G43" s="4" t="inlineStr">
        <is>
          <t>restricted_tld</t>
        </is>
      </c>
      <c r="H43" s="6" t="inlineStr">
        <is>
          <t>ถูก</t>
        </is>
      </c>
      <c r="I43" s="7" t="n">
        <v>0.08255104645071748</v>
      </c>
      <c r="J43" s="5" t="inlineStr">
        <is>
          <t>not_red</t>
        </is>
      </c>
      <c r="K43" s="6" t="inlineStr">
        <is>
          <t>ถูก</t>
        </is>
      </c>
      <c r="L43" s="4" t="inlineStr">
        <is>
          <t>ถูกทั้งคู่</t>
        </is>
      </c>
    </row>
    <row r="44">
      <c r="A44" s="3" t="n">
        <v>42</v>
      </c>
      <c r="B44" s="4" t="inlineStr">
        <is>
          <t>https://www.dsi.go.th</t>
        </is>
      </c>
      <c r="C44" s="3" t="inlineStr">
        <is>
          <t>safe</t>
        </is>
      </c>
      <c r="D44" s="4" t="inlineStr">
        <is>
          <t>thai_gov</t>
        </is>
      </c>
      <c r="E44" s="5" t="inlineStr">
        <is>
          <t>green</t>
        </is>
      </c>
      <c r="F44" s="3" t="n">
        <v>0</v>
      </c>
      <c r="G44" s="4" t="inlineStr">
        <is>
          <t>restricted_tld</t>
        </is>
      </c>
      <c r="H44" s="6" t="inlineStr">
        <is>
          <t>ถูก</t>
        </is>
      </c>
      <c r="I44" s="7" t="n">
        <v>0.09435246280474516</v>
      </c>
      <c r="J44" s="5" t="inlineStr">
        <is>
          <t>not_red</t>
        </is>
      </c>
      <c r="K44" s="6" t="inlineStr">
        <is>
          <t>ถูก</t>
        </is>
      </c>
      <c r="L44" s="4" t="inlineStr">
        <is>
          <t>ถูกทั้งคู่</t>
        </is>
      </c>
    </row>
    <row r="45">
      <c r="A45" s="3" t="n">
        <v>43</v>
      </c>
      <c r="B45" s="4" t="inlineStr">
        <is>
          <t>https://www.royalthaipolice.go.th</t>
        </is>
      </c>
      <c r="C45" s="3" t="inlineStr">
        <is>
          <t>safe</t>
        </is>
      </c>
      <c r="D45" s="4" t="inlineStr">
        <is>
          <t>thai_gov</t>
        </is>
      </c>
      <c r="E45" s="5" t="inlineStr">
        <is>
          <t>green</t>
        </is>
      </c>
      <c r="F45" s="3" t="n">
        <v>0</v>
      </c>
      <c r="G45" s="4" t="inlineStr">
        <is>
          <t>restricted_tld</t>
        </is>
      </c>
      <c r="H45" s="6" t="inlineStr">
        <is>
          <t>ถูก</t>
        </is>
      </c>
      <c r="I45" s="7" t="n">
        <v>0.0543111881491421</v>
      </c>
      <c r="J45" s="5" t="inlineStr">
        <is>
          <t>not_red</t>
        </is>
      </c>
      <c r="K45" s="6" t="inlineStr">
        <is>
          <t>ถูก</t>
        </is>
      </c>
      <c r="L45" s="4" t="inlineStr">
        <is>
          <t>ถูกทั้งคู่</t>
        </is>
      </c>
    </row>
    <row r="46">
      <c r="A46" s="3" t="n">
        <v>44</v>
      </c>
      <c r="B46" s="4" t="inlineStr">
        <is>
          <t>https://www.chula.ac.th</t>
        </is>
      </c>
      <c r="C46" s="3" t="inlineStr">
        <is>
          <t>safe</t>
        </is>
      </c>
      <c r="D46" s="4" t="inlineStr">
        <is>
          <t>thai_edu</t>
        </is>
      </c>
      <c r="E46" s="5" t="inlineStr">
        <is>
          <t>green</t>
        </is>
      </c>
      <c r="F46" s="3" t="n">
        <v>0</v>
      </c>
      <c r="G46" s="4" t="inlineStr">
        <is>
          <t>restricted_tld, popular_domain</t>
        </is>
      </c>
      <c r="H46" s="6" t="inlineStr">
        <is>
          <t>ถูก</t>
        </is>
      </c>
      <c r="I46" s="7" t="n">
        <v>0.08099736935305814</v>
      </c>
      <c r="J46" s="5" t="inlineStr">
        <is>
          <t>not_red</t>
        </is>
      </c>
      <c r="K46" s="6" t="inlineStr">
        <is>
          <t>ถูก</t>
        </is>
      </c>
      <c r="L46" s="4" t="inlineStr">
        <is>
          <t>ถูกทั้งคู่</t>
        </is>
      </c>
    </row>
    <row r="47">
      <c r="A47" s="3" t="n">
        <v>45</v>
      </c>
      <c r="B47" s="4" t="inlineStr">
        <is>
          <t>https://www.mahidol.ac.th</t>
        </is>
      </c>
      <c r="C47" s="3" t="inlineStr">
        <is>
          <t>safe</t>
        </is>
      </c>
      <c r="D47" s="4" t="inlineStr">
        <is>
          <t>thai_edu</t>
        </is>
      </c>
      <c r="E47" s="5" t="inlineStr">
        <is>
          <t>green</t>
        </is>
      </c>
      <c r="F47" s="3" t="n">
        <v>0</v>
      </c>
      <c r="G47" s="4" t="inlineStr">
        <is>
          <t>restricted_tld, popular_domain</t>
        </is>
      </c>
      <c r="H47" s="6" t="inlineStr">
        <is>
          <t>ถูก</t>
        </is>
      </c>
      <c r="I47" s="7" t="n">
        <v>0.07502038744035344</v>
      </c>
      <c r="J47" s="5" t="inlineStr">
        <is>
          <t>not_red</t>
        </is>
      </c>
      <c r="K47" s="6" t="inlineStr">
        <is>
          <t>ถูก</t>
        </is>
      </c>
      <c r="L47" s="4" t="inlineStr">
        <is>
          <t>ถูกทั้งคู่</t>
        </is>
      </c>
    </row>
    <row r="48">
      <c r="A48" s="3" t="n">
        <v>46</v>
      </c>
      <c r="B48" s="4" t="inlineStr">
        <is>
          <t>https://www.ku.ac.th</t>
        </is>
      </c>
      <c r="C48" s="3" t="inlineStr">
        <is>
          <t>safe</t>
        </is>
      </c>
      <c r="D48" s="4" t="inlineStr">
        <is>
          <t>thai_edu</t>
        </is>
      </c>
      <c r="E48" s="5" t="inlineStr">
        <is>
          <t>green</t>
        </is>
      </c>
      <c r="F48" s="3" t="n">
        <v>0</v>
      </c>
      <c r="G48" s="4" t="inlineStr">
        <is>
          <t>restricted_tld, popular_domain</t>
        </is>
      </c>
      <c r="H48" s="6" t="inlineStr">
        <is>
          <t>ถูก</t>
        </is>
      </c>
      <c r="I48" s="7" t="n">
        <v>0.02772671106619288</v>
      </c>
      <c r="J48" s="5" t="inlineStr">
        <is>
          <t>not_red</t>
        </is>
      </c>
      <c r="K48" s="6" t="inlineStr">
        <is>
          <t>ถูก</t>
        </is>
      </c>
      <c r="L48" s="4" t="inlineStr">
        <is>
          <t>ถูกทั้งคู่</t>
        </is>
      </c>
    </row>
    <row r="49">
      <c r="A49" s="3" t="n">
        <v>47</v>
      </c>
      <c r="B49" s="4" t="inlineStr">
        <is>
          <t>https://www.sut.ac.th</t>
        </is>
      </c>
      <c r="C49" s="3" t="inlineStr">
        <is>
          <t>safe</t>
        </is>
      </c>
      <c r="D49" s="4" t="inlineStr">
        <is>
          <t>thai_edu</t>
        </is>
      </c>
      <c r="E49" s="5" t="inlineStr">
        <is>
          <t>green</t>
        </is>
      </c>
      <c r="F49" s="3" t="n">
        <v>0</v>
      </c>
      <c r="G49" s="4" t="inlineStr">
        <is>
          <t>restricted_tld, popular_domain</t>
        </is>
      </c>
      <c r="H49" s="6" t="inlineStr">
        <is>
          <t>ถูก</t>
        </is>
      </c>
      <c r="I49" s="7" t="n">
        <v>0.09333730361601765</v>
      </c>
      <c r="J49" s="5" t="inlineStr">
        <is>
          <t>not_red</t>
        </is>
      </c>
      <c r="K49" s="6" t="inlineStr">
        <is>
          <t>ถูก</t>
        </is>
      </c>
      <c r="L49" s="4" t="inlineStr">
        <is>
          <t>ถูกทั้งคู่</t>
        </is>
      </c>
    </row>
    <row r="50">
      <c r="A50" s="3" t="n">
        <v>48</v>
      </c>
      <c r="B50" s="4" t="inlineStr">
        <is>
          <t>https://www.tu.ac.th</t>
        </is>
      </c>
      <c r="C50" s="3" t="inlineStr">
        <is>
          <t>safe</t>
        </is>
      </c>
      <c r="D50" s="4" t="inlineStr">
        <is>
          <t>thai_edu</t>
        </is>
      </c>
      <c r="E50" s="5" t="inlineStr">
        <is>
          <t>green</t>
        </is>
      </c>
      <c r="F50" s="3" t="n">
        <v>0</v>
      </c>
      <c r="G50" s="4" t="inlineStr">
        <is>
          <t>restricted_tld, popular_domain</t>
        </is>
      </c>
      <c r="H50" s="6" t="inlineStr">
        <is>
          <t>ถูก</t>
        </is>
      </c>
      <c r="I50" s="7" t="n">
        <v>0.02738019517260476</v>
      </c>
      <c r="J50" s="5" t="inlineStr">
        <is>
          <t>not_red</t>
        </is>
      </c>
      <c r="K50" s="6" t="inlineStr">
        <is>
          <t>ถูก</t>
        </is>
      </c>
      <c r="L50" s="4" t="inlineStr">
        <is>
          <t>ถูกทั้งคู่</t>
        </is>
      </c>
    </row>
    <row r="51">
      <c r="A51" s="3" t="n">
        <v>49</v>
      </c>
      <c r="B51" s="4" t="inlineStr">
        <is>
          <t>https://www.kmutt.ac.th</t>
        </is>
      </c>
      <c r="C51" s="3" t="inlineStr">
        <is>
          <t>safe</t>
        </is>
      </c>
      <c r="D51" s="4" t="inlineStr">
        <is>
          <t>thai_edu</t>
        </is>
      </c>
      <c r="E51" s="5" t="inlineStr">
        <is>
          <t>green</t>
        </is>
      </c>
      <c r="F51" s="3" t="n">
        <v>0</v>
      </c>
      <c r="G51" s="4" t="inlineStr">
        <is>
          <t>restricted_tld, popular_domain</t>
        </is>
      </c>
      <c r="H51" s="6" t="inlineStr">
        <is>
          <t>ถูก</t>
        </is>
      </c>
      <c r="I51" s="7" t="n">
        <v>0.100565371665231</v>
      </c>
      <c r="J51" s="5" t="inlineStr">
        <is>
          <t>not_red</t>
        </is>
      </c>
      <c r="K51" s="6" t="inlineStr">
        <is>
          <t>ถูก</t>
        </is>
      </c>
      <c r="L51" s="4" t="inlineStr">
        <is>
          <t>ถูกทั้งคู่</t>
        </is>
      </c>
    </row>
    <row r="52">
      <c r="A52" s="3" t="n">
        <v>50</v>
      </c>
      <c r="B52" s="4" t="inlineStr">
        <is>
          <t>https://www.cmu.ac.th</t>
        </is>
      </c>
      <c r="C52" s="3" t="inlineStr">
        <is>
          <t>safe</t>
        </is>
      </c>
      <c r="D52" s="4" t="inlineStr">
        <is>
          <t>thai_edu</t>
        </is>
      </c>
      <c r="E52" s="5" t="inlineStr">
        <is>
          <t>green</t>
        </is>
      </c>
      <c r="F52" s="3" t="n">
        <v>0</v>
      </c>
      <c r="G52" s="4" t="inlineStr">
        <is>
          <t>restricted_tld, popular_domain</t>
        </is>
      </c>
      <c r="H52" s="6" t="inlineStr">
        <is>
          <t>ถูก</t>
        </is>
      </c>
      <c r="I52" s="7" t="n">
        <v>0.09333730361601765</v>
      </c>
      <c r="J52" s="5" t="inlineStr">
        <is>
          <t>not_red</t>
        </is>
      </c>
      <c r="K52" s="6" t="inlineStr">
        <is>
          <t>ถูก</t>
        </is>
      </c>
      <c r="L52" s="4" t="inlineStr">
        <is>
          <t>ถูกทั้งคู่</t>
        </is>
      </c>
    </row>
    <row r="53">
      <c r="A53" s="9" t="n">
        <v>51</v>
      </c>
      <c r="B53" s="4" t="inlineStr">
        <is>
          <t>https://www.robiox.com.py/users/113481176786/profile/</t>
        </is>
      </c>
      <c r="C53" s="3" t="inlineStr">
        <is>
          <t>dangerous</t>
        </is>
      </c>
      <c r="D53" s="4" t="inlineStr">
        <is>
          <t>phish_fresh</t>
        </is>
      </c>
      <c r="E53" s="8" t="inlineStr">
        <is>
          <t>yellow</t>
        </is>
      </c>
      <c r="F53" s="3" t="n">
        <v>0</v>
      </c>
      <c r="G53" s="4" t="inlineStr">
        <is>
          <t>-</t>
        </is>
      </c>
      <c r="H53" s="10" t="inlineStr">
        <is>
          <t>ผิด</t>
        </is>
      </c>
      <c r="I53" s="7" t="n">
        <v>0.1428774049440925</v>
      </c>
      <c r="J53" s="5" t="inlineStr">
        <is>
          <t>not_red</t>
        </is>
      </c>
      <c r="K53" s="10" t="inlineStr">
        <is>
          <t>ผิด</t>
        </is>
      </c>
      <c r="L53" s="4" t="inlineStr">
        <is>
          <t>ผิดทั้งคู่</t>
        </is>
      </c>
    </row>
    <row r="54">
      <c r="A54" s="3" t="n">
        <v>52</v>
      </c>
      <c r="B54" s="4" t="inlineStr">
        <is>
          <t>https://www.roblox.com.ml/users/274335820842/profile</t>
        </is>
      </c>
      <c r="C54" s="3" t="inlineStr">
        <is>
          <t>dangerous</t>
        </is>
      </c>
      <c r="D54" s="4" t="inlineStr">
        <is>
          <t>phish_fresh</t>
        </is>
      </c>
      <c r="E54" s="11" t="inlineStr">
        <is>
          <t>red</t>
        </is>
      </c>
      <c r="F54" s="3" t="n">
        <v>9</v>
      </c>
      <c r="G54" s="4" t="inlineStr">
        <is>
          <t>brand_impersonation, risky_tld</t>
        </is>
      </c>
      <c r="H54" s="6" t="inlineStr">
        <is>
          <t>ถูก</t>
        </is>
      </c>
      <c r="I54" s="7" t="n">
        <v>0.1406560331520048</v>
      </c>
      <c r="J54" s="5" t="inlineStr">
        <is>
          <t>not_red</t>
        </is>
      </c>
      <c r="K54" s="10" t="inlineStr">
        <is>
          <t>ผิด</t>
        </is>
      </c>
      <c r="L54" s="4" t="inlineStr">
        <is>
          <t>เฉพาะระบบเรา</t>
        </is>
      </c>
    </row>
    <row r="55">
      <c r="A55" s="3" t="n">
        <v>53</v>
      </c>
      <c r="B55" s="4" t="inlineStr">
        <is>
          <t>http://wvw-facebook.com/share-us5ow7ds2?mibextid=wwXIfr</t>
        </is>
      </c>
      <c r="C55" s="3" t="inlineStr">
        <is>
          <t>dangerous</t>
        </is>
      </c>
      <c r="D55" s="4" t="inlineStr">
        <is>
          <t>phish_fresh</t>
        </is>
      </c>
      <c r="E55" s="11" t="inlineStr">
        <is>
          <t>red</t>
        </is>
      </c>
      <c r="F55" s="3" t="n">
        <v>7</v>
      </c>
      <c r="G55" s="4" t="inlineStr">
        <is>
          <t>brand_impersonation, no_https</t>
        </is>
      </c>
      <c r="H55" s="6" t="inlineStr">
        <is>
          <t>ถูก</t>
        </is>
      </c>
      <c r="I55" s="7" t="n">
        <v>0.7668584353870758</v>
      </c>
      <c r="J55" s="5" t="inlineStr">
        <is>
          <t>not_red</t>
        </is>
      </c>
      <c r="K55" s="10" t="inlineStr">
        <is>
          <t>ผิด</t>
        </is>
      </c>
      <c r="L55" s="4" t="inlineStr">
        <is>
          <t>เฉพาะระบบเรา</t>
        </is>
      </c>
    </row>
    <row r="56">
      <c r="A56" s="9" t="n">
        <v>54</v>
      </c>
      <c r="B56" s="4" t="inlineStr">
        <is>
          <t>https://www.whtsapp-serve.chat/</t>
        </is>
      </c>
      <c r="C56" s="3" t="inlineStr">
        <is>
          <t>dangerous</t>
        </is>
      </c>
      <c r="D56" s="4" t="inlineStr">
        <is>
          <t>phish_fresh</t>
        </is>
      </c>
      <c r="E56" s="8" t="inlineStr">
        <is>
          <t>yellow</t>
        </is>
      </c>
      <c r="F56" s="3" t="n">
        <v>0</v>
      </c>
      <c r="G56" s="4" t="inlineStr">
        <is>
          <t>-</t>
        </is>
      </c>
      <c r="H56" s="10" t="inlineStr">
        <is>
          <t>ผิด</t>
        </is>
      </c>
      <c r="I56" s="7" t="n">
        <v>0.6168884413472595</v>
      </c>
      <c r="J56" s="5" t="inlineStr">
        <is>
          <t>not_red</t>
        </is>
      </c>
      <c r="K56" s="10" t="inlineStr">
        <is>
          <t>ผิด</t>
        </is>
      </c>
      <c r="L56" s="4" t="inlineStr">
        <is>
          <t>ผิดทั้งคู่</t>
        </is>
      </c>
    </row>
    <row r="57">
      <c r="A57" s="3" t="n">
        <v>55</v>
      </c>
      <c r="B57" s="4" t="inlineStr">
        <is>
          <t>http://wwwmicrosoft-com-en-us-microsoft-365-outlook-email.framer.website/</t>
        </is>
      </c>
      <c r="C57" s="3" t="inlineStr">
        <is>
          <t>dangerous</t>
        </is>
      </c>
      <c r="D57" s="4" t="inlineStr">
        <is>
          <t>phish_fresh</t>
        </is>
      </c>
      <c r="E57" s="11" t="inlineStr">
        <is>
          <t>red</t>
        </is>
      </c>
      <c r="F57" s="3" t="n">
        <v>8</v>
      </c>
      <c r="G57" s="4" t="inlineStr">
        <is>
          <t>user_content_host, user_content_brand, no_https</t>
        </is>
      </c>
      <c r="H57" s="6" t="inlineStr">
        <is>
          <t>ถูก</t>
        </is>
      </c>
      <c r="I57" s="7" t="n">
        <v>0.9999880459410075</v>
      </c>
      <c r="J57" s="11" t="inlineStr">
        <is>
          <t>red</t>
        </is>
      </c>
      <c r="K57" s="6" t="inlineStr">
        <is>
          <t>ถูก</t>
        </is>
      </c>
      <c r="L57" s="4" t="inlineStr">
        <is>
          <t>ถูกทั้งคู่</t>
        </is>
      </c>
    </row>
    <row r="58">
      <c r="A58" s="9" t="n">
        <v>56</v>
      </c>
      <c r="B58" s="4" t="inlineStr">
        <is>
          <t>http://helpcenteraple.tempurl.host/D%207%20L%20S%20E%20N%20D%20P%20K/track/track.php</t>
        </is>
      </c>
      <c r="C58" s="3" t="inlineStr">
        <is>
          <t>dangerous</t>
        </is>
      </c>
      <c r="D58" s="4" t="inlineStr">
        <is>
          <t>phish_fresh</t>
        </is>
      </c>
      <c r="E58" s="8" t="inlineStr">
        <is>
          <t>yellow</t>
        </is>
      </c>
      <c r="F58" s="3" t="n">
        <v>2</v>
      </c>
      <c r="G58" s="4" t="inlineStr">
        <is>
          <t>user_content_host, no_https</t>
        </is>
      </c>
      <c r="H58" s="10" t="inlineStr">
        <is>
          <t>ผิด</t>
        </is>
      </c>
      <c r="I58" s="7" t="n">
        <v>0.9730407483768767</v>
      </c>
      <c r="J58" s="11" t="inlineStr">
        <is>
          <t>red</t>
        </is>
      </c>
      <c r="K58" s="6" t="inlineStr">
        <is>
          <t>ถูก</t>
        </is>
      </c>
      <c r="L58" s="4" t="inlineStr">
        <is>
          <t>เฉพาะคู่แข่ง</t>
        </is>
      </c>
    </row>
    <row r="59">
      <c r="A59" s="3" t="n">
        <v>57</v>
      </c>
      <c r="B59" s="4" t="inlineStr">
        <is>
          <t>http://apple.5g.in/ch</t>
        </is>
      </c>
      <c r="C59" s="3" t="inlineStr">
        <is>
          <t>dangerous</t>
        </is>
      </c>
      <c r="D59" s="4" t="inlineStr">
        <is>
          <t>phish_fresh</t>
        </is>
      </c>
      <c r="E59" s="11" t="inlineStr">
        <is>
          <t>red</t>
        </is>
      </c>
      <c r="F59" s="3" t="n">
        <v>7</v>
      </c>
      <c r="G59" s="4" t="inlineStr">
        <is>
          <t>brand_impersonation, no_https</t>
        </is>
      </c>
      <c r="H59" s="6" t="inlineStr">
        <is>
          <t>ถูก</t>
        </is>
      </c>
      <c r="I59" s="7" t="n">
        <v>0.3406129003275612</v>
      </c>
      <c r="J59" s="5" t="inlineStr">
        <is>
          <t>not_red</t>
        </is>
      </c>
      <c r="K59" s="10" t="inlineStr">
        <is>
          <t>ผิด</t>
        </is>
      </c>
      <c r="L59" s="4" t="inlineStr">
        <is>
          <t>เฉพาะระบบเรา</t>
        </is>
      </c>
    </row>
    <row r="60">
      <c r="A60" s="9" t="n">
        <v>58</v>
      </c>
      <c r="B60" s="4" t="inlineStr">
        <is>
          <t>http://www.m.amz-topi.icu/</t>
        </is>
      </c>
      <c r="C60" s="3" t="inlineStr">
        <is>
          <t>dangerous</t>
        </is>
      </c>
      <c r="D60" s="4" t="inlineStr">
        <is>
          <t>phish_fresh</t>
        </is>
      </c>
      <c r="E60" s="8" t="inlineStr">
        <is>
          <t>yellow</t>
        </is>
      </c>
      <c r="F60" s="3" t="n">
        <v>1</v>
      </c>
      <c r="G60" s="4" t="inlineStr">
        <is>
          <t>no_https</t>
        </is>
      </c>
      <c r="H60" s="10" t="inlineStr">
        <is>
          <t>ผิด</t>
        </is>
      </c>
      <c r="I60" s="7" t="n">
        <v>0.03931745909165042</v>
      </c>
      <c r="J60" s="5" t="inlineStr">
        <is>
          <t>not_red</t>
        </is>
      </c>
      <c r="K60" s="10" t="inlineStr">
        <is>
          <t>ผิด</t>
        </is>
      </c>
      <c r="L60" s="4" t="inlineStr">
        <is>
          <t>ผิดทั้งคู่</t>
        </is>
      </c>
    </row>
    <row r="61">
      <c r="A61" s="9" t="n">
        <v>59</v>
      </c>
      <c r="B61" s="4" t="inlineStr">
        <is>
          <t>https://www.bankofamericaijcf.com/</t>
        </is>
      </c>
      <c r="C61" s="3" t="inlineStr">
        <is>
          <t>dangerous</t>
        </is>
      </c>
      <c r="D61" s="4" t="inlineStr">
        <is>
          <t>phish_fresh</t>
        </is>
      </c>
      <c r="E61" s="8" t="inlineStr">
        <is>
          <t>yellow</t>
        </is>
      </c>
      <c r="F61" s="3" t="n">
        <v>0</v>
      </c>
      <c r="G61" s="4" t="inlineStr">
        <is>
          <t>-</t>
        </is>
      </c>
      <c r="H61" s="10" t="inlineStr">
        <is>
          <t>ผิด</t>
        </is>
      </c>
      <c r="I61" s="7" t="n">
        <v>0.2508477909262032</v>
      </c>
      <c r="J61" s="5" t="inlineStr">
        <is>
          <t>not_red</t>
        </is>
      </c>
      <c r="K61" s="10" t="inlineStr">
        <is>
          <t>ผิด</t>
        </is>
      </c>
      <c r="L61" s="4" t="inlineStr">
        <is>
          <t>ผิดทั้งคู่</t>
        </is>
      </c>
    </row>
    <row r="62">
      <c r="A62" s="9" t="n">
        <v>60</v>
      </c>
      <c r="B62" s="4" t="inlineStr">
        <is>
          <t>https://web-wa-llet-support.zapier.app/</t>
        </is>
      </c>
      <c r="C62" s="3" t="inlineStr">
        <is>
          <t>dangerous</t>
        </is>
      </c>
      <c r="D62" s="4" t="inlineStr">
        <is>
          <t>phish_fresh</t>
        </is>
      </c>
      <c r="E62" s="8" t="inlineStr">
        <is>
          <t>yellow</t>
        </is>
      </c>
      <c r="F62" s="3" t="n">
        <v>2</v>
      </c>
      <c r="G62" s="4" t="inlineStr">
        <is>
          <t>user_content_host, lure_keyword</t>
        </is>
      </c>
      <c r="H62" s="10" t="inlineStr">
        <is>
          <t>ผิด</t>
        </is>
      </c>
      <c r="I62" s="7" t="n">
        <v>0.9906744209639865</v>
      </c>
      <c r="J62" s="11" t="inlineStr">
        <is>
          <t>red</t>
        </is>
      </c>
      <c r="K62" s="6" t="inlineStr">
        <is>
          <t>ถูก</t>
        </is>
      </c>
      <c r="L62" s="4" t="inlineStr">
        <is>
          <t>เฉพาะคู่แข่ง</t>
        </is>
      </c>
    </row>
    <row r="63">
      <c r="A63" s="9" t="n">
        <v>61</v>
      </c>
      <c r="B63" s="4" t="inlineStr">
        <is>
          <t>https://kucoinwlogn.gitbook.io/sign-in</t>
        </is>
      </c>
      <c r="C63" s="3" t="inlineStr">
        <is>
          <t>dangerous</t>
        </is>
      </c>
      <c r="D63" s="4" t="inlineStr">
        <is>
          <t>phish_fresh</t>
        </is>
      </c>
      <c r="E63" s="8" t="inlineStr">
        <is>
          <t>yellow</t>
        </is>
      </c>
      <c r="F63" s="3" t="n">
        <v>1</v>
      </c>
      <c r="G63" s="4" t="inlineStr">
        <is>
          <t>user_content_host</t>
        </is>
      </c>
      <c r="H63" s="10" t="inlineStr">
        <is>
          <t>ผิด</t>
        </is>
      </c>
      <c r="I63" s="7" t="n">
        <v>0.9678234604658785</v>
      </c>
      <c r="J63" s="5" t="inlineStr">
        <is>
          <t>not_red</t>
        </is>
      </c>
      <c r="K63" s="10" t="inlineStr">
        <is>
          <t>ผิด</t>
        </is>
      </c>
      <c r="L63" s="4" t="inlineStr">
        <is>
          <t>ผิดทั้งคู่</t>
        </is>
      </c>
    </row>
    <row r="64">
      <c r="A64" s="9" t="n">
        <v>62</v>
      </c>
      <c r="B64" s="4" t="inlineStr">
        <is>
          <t>https://bybitamlchecker.com/connect</t>
        </is>
      </c>
      <c r="C64" s="3" t="inlineStr">
        <is>
          <t>dangerous</t>
        </is>
      </c>
      <c r="D64" s="4" t="inlineStr">
        <is>
          <t>phish_fresh</t>
        </is>
      </c>
      <c r="E64" s="8" t="inlineStr">
        <is>
          <t>yellow</t>
        </is>
      </c>
      <c r="F64" s="3" t="n">
        <v>0</v>
      </c>
      <c r="G64" s="4" t="inlineStr">
        <is>
          <t>-</t>
        </is>
      </c>
      <c r="H64" s="10" t="inlineStr">
        <is>
          <t>ผิด</t>
        </is>
      </c>
      <c r="I64" s="7" t="n">
        <v>0.6425435782234521</v>
      </c>
      <c r="J64" s="5" t="inlineStr">
        <is>
          <t>not_red</t>
        </is>
      </c>
      <c r="K64" s="10" t="inlineStr">
        <is>
          <t>ผิด</t>
        </is>
      </c>
      <c r="L64" s="4" t="inlineStr">
        <is>
          <t>ผิดทั้งคู่</t>
        </is>
      </c>
    </row>
    <row r="65">
      <c r="A65" s="9" t="n">
        <v>63</v>
      </c>
      <c r="B65" s="4" t="inlineStr">
        <is>
          <t>https://imtokens.co/</t>
        </is>
      </c>
      <c r="C65" s="3" t="inlineStr">
        <is>
          <t>dangerous</t>
        </is>
      </c>
      <c r="D65" s="4" t="inlineStr">
        <is>
          <t>phish_fresh</t>
        </is>
      </c>
      <c r="E65" s="8" t="inlineStr">
        <is>
          <t>yellow</t>
        </is>
      </c>
      <c r="F65" s="3" t="n">
        <v>0</v>
      </c>
      <c r="G65" s="4" t="inlineStr">
        <is>
          <t>-</t>
        </is>
      </c>
      <c r="H65" s="10" t="inlineStr">
        <is>
          <t>ผิด</t>
        </is>
      </c>
      <c r="I65" s="7" t="n">
        <v>0.5928841573940895</v>
      </c>
      <c r="J65" s="5" t="inlineStr">
        <is>
          <t>not_red</t>
        </is>
      </c>
      <c r="K65" s="10" t="inlineStr">
        <is>
          <t>ผิด</t>
        </is>
      </c>
      <c r="L65" s="4" t="inlineStr">
        <is>
          <t>ผิดทั้งคู่</t>
        </is>
      </c>
    </row>
    <row r="66">
      <c r="A66" s="9" t="n">
        <v>64</v>
      </c>
      <c r="B66" s="4" t="inlineStr">
        <is>
          <t>http://panoasg.github.io/ledger</t>
        </is>
      </c>
      <c r="C66" s="3" t="inlineStr">
        <is>
          <t>dangerous</t>
        </is>
      </c>
      <c r="D66" s="4" t="inlineStr">
        <is>
          <t>phish_fresh</t>
        </is>
      </c>
      <c r="E66" s="8" t="inlineStr">
        <is>
          <t>yellow</t>
        </is>
      </c>
      <c r="F66" s="3" t="n">
        <v>2</v>
      </c>
      <c r="G66" s="4" t="inlineStr">
        <is>
          <t>user_content_host, no_https</t>
        </is>
      </c>
      <c r="H66" s="10" t="inlineStr">
        <is>
          <t>ผิด</t>
        </is>
      </c>
      <c r="I66" s="7" t="n">
        <v>0.9309725453663665</v>
      </c>
      <c r="J66" s="5" t="inlineStr">
        <is>
          <t>not_red</t>
        </is>
      </c>
      <c r="K66" s="10" t="inlineStr">
        <is>
          <t>ผิด</t>
        </is>
      </c>
      <c r="L66" s="4" t="inlineStr">
        <is>
          <t>ผิดทั้งคู่</t>
        </is>
      </c>
    </row>
    <row r="67">
      <c r="A67" s="3" t="n">
        <v>65</v>
      </c>
      <c r="B67" s="4" t="inlineStr">
        <is>
          <t>https://secure.zoinbase.live/</t>
        </is>
      </c>
      <c r="C67" s="3" t="inlineStr">
        <is>
          <t>dangerous</t>
        </is>
      </c>
      <c r="D67" s="4" t="inlineStr">
        <is>
          <t>phish_fresh</t>
        </is>
      </c>
      <c r="E67" s="11" t="inlineStr">
        <is>
          <t>red</t>
        </is>
      </c>
      <c r="F67" s="3" t="n">
        <v>7</v>
      </c>
      <c r="G67" s="4" t="inlineStr">
        <is>
          <t>typosquatting, lure_keyword</t>
        </is>
      </c>
      <c r="H67" s="6" t="inlineStr">
        <is>
          <t>ถูก</t>
        </is>
      </c>
      <c r="I67" s="7" t="n">
        <v>0.9241905979217001</v>
      </c>
      <c r="J67" s="5" t="inlineStr">
        <is>
          <t>not_red</t>
        </is>
      </c>
      <c r="K67" s="10" t="inlineStr">
        <is>
          <t>ผิด</t>
        </is>
      </c>
      <c r="L67" s="4" t="inlineStr">
        <is>
          <t>เฉพาะระบบเรา</t>
        </is>
      </c>
    </row>
    <row r="68">
      <c r="A68" s="9" t="n">
        <v>66</v>
      </c>
      <c r="B68" s="4" t="inlineStr">
        <is>
          <t>http://www.robinhood-reward.com/</t>
        </is>
      </c>
      <c r="C68" s="3" t="inlineStr">
        <is>
          <t>dangerous</t>
        </is>
      </c>
      <c r="D68" s="4" t="inlineStr">
        <is>
          <t>phish_fresh</t>
        </is>
      </c>
      <c r="E68" s="8" t="inlineStr">
        <is>
          <t>yellow</t>
        </is>
      </c>
      <c r="F68" s="3" t="n">
        <v>1</v>
      </c>
      <c r="G68" s="4" t="inlineStr">
        <is>
          <t>no_https</t>
        </is>
      </c>
      <c r="H68" s="10" t="inlineStr">
        <is>
          <t>ผิด</t>
        </is>
      </c>
      <c r="I68" s="7" t="n">
        <v>0.4608378072242169</v>
      </c>
      <c r="J68" s="5" t="inlineStr">
        <is>
          <t>not_red</t>
        </is>
      </c>
      <c r="K68" s="10" t="inlineStr">
        <is>
          <t>ผิด</t>
        </is>
      </c>
      <c r="L68" s="4" t="inlineStr">
        <is>
          <t>ผิดทั้งคู่</t>
        </is>
      </c>
    </row>
    <row r="69">
      <c r="A69" s="9" t="n">
        <v>67</v>
      </c>
      <c r="B69" s="4" t="inlineStr">
        <is>
          <t>https://moonpay-commerce-goylyguzs-heliofi.vercel.app/</t>
        </is>
      </c>
      <c r="C69" s="3" t="inlineStr">
        <is>
          <t>dangerous</t>
        </is>
      </c>
      <c r="D69" s="4" t="inlineStr">
        <is>
          <t>phish_fresh</t>
        </is>
      </c>
      <c r="E69" s="8" t="inlineStr">
        <is>
          <t>yellow</t>
        </is>
      </c>
      <c r="F69" s="3" t="n">
        <v>1</v>
      </c>
      <c r="G69" s="4" t="inlineStr">
        <is>
          <t>user_content_host</t>
        </is>
      </c>
      <c r="H69" s="10" t="inlineStr">
        <is>
          <t>ผิด</t>
        </is>
      </c>
      <c r="I69" s="7" t="n">
        <v>0.9895593321455293</v>
      </c>
      <c r="J69" s="11" t="inlineStr">
        <is>
          <t>red</t>
        </is>
      </c>
      <c r="K69" s="6" t="inlineStr">
        <is>
          <t>ถูก</t>
        </is>
      </c>
      <c r="L69" s="4" t="inlineStr">
        <is>
          <t>เฉพาะคู่แข่ง</t>
        </is>
      </c>
    </row>
    <row r="70">
      <c r="A70" s="3" t="n">
        <v>68</v>
      </c>
      <c r="B70" s="4" t="inlineStr">
        <is>
          <t>https://aryama10.github.io/facebook-login-page/</t>
        </is>
      </c>
      <c r="C70" s="3" t="inlineStr">
        <is>
          <t>dangerous</t>
        </is>
      </c>
      <c r="D70" s="4" t="inlineStr">
        <is>
          <t>phish_fresh</t>
        </is>
      </c>
      <c r="E70" s="11" t="inlineStr">
        <is>
          <t>red</t>
        </is>
      </c>
      <c r="F70" s="3" t="n">
        <v>8</v>
      </c>
      <c r="G70" s="4" t="inlineStr">
        <is>
          <t>user_content_host, user_content_brand, lure_keyword</t>
        </is>
      </c>
      <c r="H70" s="6" t="inlineStr">
        <is>
          <t>ถูก</t>
        </is>
      </c>
      <c r="I70" s="7" t="n">
        <v>0.9879514025381626</v>
      </c>
      <c r="J70" s="11" t="inlineStr">
        <is>
          <t>red</t>
        </is>
      </c>
      <c r="K70" s="6" t="inlineStr">
        <is>
          <t>ถูก</t>
        </is>
      </c>
      <c r="L70" s="4" t="inlineStr">
        <is>
          <t>ถูกทั้งคู่</t>
        </is>
      </c>
    </row>
    <row r="71">
      <c r="A71" s="3" t="n">
        <v>69</v>
      </c>
      <c r="B71" s="4" t="inlineStr">
        <is>
          <t>https://leafleafy28-design.github.io/AMAZON-CLONE/</t>
        </is>
      </c>
      <c r="C71" s="3" t="inlineStr">
        <is>
          <t>dangerous</t>
        </is>
      </c>
      <c r="D71" s="4" t="inlineStr">
        <is>
          <t>phish_fresh</t>
        </is>
      </c>
      <c r="E71" s="11" t="inlineStr">
        <is>
          <t>red</t>
        </is>
      </c>
      <c r="F71" s="3" t="n">
        <v>7</v>
      </c>
      <c r="G71" s="4" t="inlineStr">
        <is>
          <t>user_content_host, user_content_brand</t>
        </is>
      </c>
      <c r="H71" s="6" t="inlineStr">
        <is>
          <t>ถูก</t>
        </is>
      </c>
      <c r="I71" s="7" t="n">
        <v>0.9945627428459684</v>
      </c>
      <c r="J71" s="11" t="inlineStr">
        <is>
          <t>red</t>
        </is>
      </c>
      <c r="K71" s="6" t="inlineStr">
        <is>
          <t>ถูก</t>
        </is>
      </c>
      <c r="L71" s="4" t="inlineStr">
        <is>
          <t>ถูกทั้งคู่</t>
        </is>
      </c>
    </row>
    <row r="72">
      <c r="A72" s="3" t="n">
        <v>70</v>
      </c>
      <c r="B72" s="4" t="inlineStr">
        <is>
          <t>https://manikgupta-2004.github.io/netflix-homepage/</t>
        </is>
      </c>
      <c r="C72" s="3" t="inlineStr">
        <is>
          <t>dangerous</t>
        </is>
      </c>
      <c r="D72" s="4" t="inlineStr">
        <is>
          <t>phish_fresh</t>
        </is>
      </c>
      <c r="E72" s="11" t="inlineStr">
        <is>
          <t>red</t>
        </is>
      </c>
      <c r="F72" s="3" t="n">
        <v>7</v>
      </c>
      <c r="G72" s="4" t="inlineStr">
        <is>
          <t>user_content_host, user_content_brand</t>
        </is>
      </c>
      <c r="H72" s="6" t="inlineStr">
        <is>
          <t>ถูก</t>
        </is>
      </c>
      <c r="I72" s="7" t="n">
        <v>0.9993380424483639</v>
      </c>
      <c r="J72" s="11" t="inlineStr">
        <is>
          <t>red</t>
        </is>
      </c>
      <c r="K72" s="6" t="inlineStr">
        <is>
          <t>ถูก</t>
        </is>
      </c>
      <c r="L72" s="4" t="inlineStr">
        <is>
          <t>ถูกทั้งคู่</t>
        </is>
      </c>
    </row>
    <row r="73">
      <c r="A73" s="9" t="n">
        <v>71</v>
      </c>
      <c r="B73" s="4" t="inlineStr">
        <is>
          <t>https://kartikbuilds.github.io/Ledger-Co/</t>
        </is>
      </c>
      <c r="C73" s="3" t="inlineStr">
        <is>
          <t>dangerous</t>
        </is>
      </c>
      <c r="D73" s="4" t="inlineStr">
        <is>
          <t>phish_fresh</t>
        </is>
      </c>
      <c r="E73" s="8" t="inlineStr">
        <is>
          <t>yellow</t>
        </is>
      </c>
      <c r="F73" s="3" t="n">
        <v>1</v>
      </c>
      <c r="G73" s="4" t="inlineStr">
        <is>
          <t>user_content_host</t>
        </is>
      </c>
      <c r="H73" s="10" t="inlineStr">
        <is>
          <t>ผิด</t>
        </is>
      </c>
      <c r="I73" s="7" t="n">
        <v>0.9172925420617233</v>
      </c>
      <c r="J73" s="5" t="inlineStr">
        <is>
          <t>not_red</t>
        </is>
      </c>
      <c r="K73" s="10" t="inlineStr">
        <is>
          <t>ผิด</t>
        </is>
      </c>
      <c r="L73" s="4" t="inlineStr">
        <is>
          <t>ผิดทั้งคู่</t>
        </is>
      </c>
    </row>
    <row r="74">
      <c r="A74" s="9" t="n">
        <v>72</v>
      </c>
      <c r="B74" s="4" t="inlineStr">
        <is>
          <t>https://c03n.top/</t>
        </is>
      </c>
      <c r="C74" s="3" t="inlineStr">
        <is>
          <t>dangerous</t>
        </is>
      </c>
      <c r="D74" s="4" t="inlineStr">
        <is>
          <t>phish_fresh</t>
        </is>
      </c>
      <c r="E74" s="8" t="inlineStr">
        <is>
          <t>yellow</t>
        </is>
      </c>
      <c r="F74" s="3" t="n">
        <v>3</v>
      </c>
      <c r="G74" s="4" t="inlineStr">
        <is>
          <t>risky_tld</t>
        </is>
      </c>
      <c r="H74" s="10" t="inlineStr">
        <is>
          <t>ผิด</t>
        </is>
      </c>
      <c r="I74" s="7" t="n">
        <v>0.8616463917032564</v>
      </c>
      <c r="J74" s="5" t="inlineStr">
        <is>
          <t>not_red</t>
        </is>
      </c>
      <c r="K74" s="10" t="inlineStr">
        <is>
          <t>ผิด</t>
        </is>
      </c>
      <c r="L74" s="4" t="inlineStr">
        <is>
          <t>ผิดทั้งคู่</t>
        </is>
      </c>
    </row>
    <row r="75">
      <c r="A75" s="9" t="n">
        <v>73</v>
      </c>
      <c r="B75" s="4" t="inlineStr">
        <is>
          <t>https://82493.xyz/</t>
        </is>
      </c>
      <c r="C75" s="3" t="inlineStr">
        <is>
          <t>dangerous</t>
        </is>
      </c>
      <c r="D75" s="4" t="inlineStr">
        <is>
          <t>phish_fresh</t>
        </is>
      </c>
      <c r="E75" s="8" t="inlineStr">
        <is>
          <t>yellow</t>
        </is>
      </c>
      <c r="F75" s="3" t="n">
        <v>3</v>
      </c>
      <c r="G75" s="4" t="inlineStr">
        <is>
          <t>risky_tld</t>
        </is>
      </c>
      <c r="H75" s="10" t="inlineStr">
        <is>
          <t>ผิด</t>
        </is>
      </c>
      <c r="I75" s="7" t="n">
        <v>0.9147483950644925</v>
      </c>
      <c r="J75" s="5" t="inlineStr">
        <is>
          <t>not_red</t>
        </is>
      </c>
      <c r="K75" s="10" t="inlineStr">
        <is>
          <t>ผิด</t>
        </is>
      </c>
      <c r="L75" s="4" t="inlineStr">
        <is>
          <t>ผิดทั้งคู่</t>
        </is>
      </c>
    </row>
    <row r="76">
      <c r="A76" s="9" t="n">
        <v>74</v>
      </c>
      <c r="B76" s="4" t="inlineStr">
        <is>
          <t>https://www.r19a.xyz/</t>
        </is>
      </c>
      <c r="C76" s="3" t="inlineStr">
        <is>
          <t>dangerous</t>
        </is>
      </c>
      <c r="D76" s="4" t="inlineStr">
        <is>
          <t>phish_fresh</t>
        </is>
      </c>
      <c r="E76" s="8" t="inlineStr">
        <is>
          <t>yellow</t>
        </is>
      </c>
      <c r="F76" s="3" t="n">
        <v>3</v>
      </c>
      <c r="G76" s="4" t="inlineStr">
        <is>
          <t>risky_tld</t>
        </is>
      </c>
      <c r="H76" s="10" t="inlineStr">
        <is>
          <t>ผิด</t>
        </is>
      </c>
      <c r="I76" s="7" t="n">
        <v>0.6715242947913511</v>
      </c>
      <c r="J76" s="5" t="inlineStr">
        <is>
          <t>not_red</t>
        </is>
      </c>
      <c r="K76" s="10" t="inlineStr">
        <is>
          <t>ผิด</t>
        </is>
      </c>
      <c r="L76" s="4" t="inlineStr">
        <is>
          <t>ผิดทั้งคู่</t>
        </is>
      </c>
    </row>
    <row r="77">
      <c r="A77" s="9" t="n">
        <v>75</v>
      </c>
      <c r="B77" s="4" t="inlineStr">
        <is>
          <t>http://j110x.vip/</t>
        </is>
      </c>
      <c r="C77" s="3" t="inlineStr">
        <is>
          <t>dangerous</t>
        </is>
      </c>
      <c r="D77" s="4" t="inlineStr">
        <is>
          <t>phish_fresh</t>
        </is>
      </c>
      <c r="E77" s="8" t="inlineStr">
        <is>
          <t>yellow</t>
        </is>
      </c>
      <c r="F77" s="3" t="n">
        <v>1</v>
      </c>
      <c r="G77" s="4" t="inlineStr">
        <is>
          <t>no_https</t>
        </is>
      </c>
      <c r="H77" s="10" t="inlineStr">
        <is>
          <t>ผิด</t>
        </is>
      </c>
      <c r="I77" s="7" t="n">
        <v>0.9238572680684969</v>
      </c>
      <c r="J77" s="5" t="inlineStr">
        <is>
          <t>not_red</t>
        </is>
      </c>
      <c r="K77" s="10" t="inlineStr">
        <is>
          <t>ผิด</t>
        </is>
      </c>
      <c r="L77" s="4" t="inlineStr">
        <is>
          <t>ผิดทั้งคู่</t>
        </is>
      </c>
    </row>
    <row r="78">
      <c r="A78" s="9" t="n">
        <v>76</v>
      </c>
      <c r="B78" s="4" t="inlineStr">
        <is>
          <t>http://2641.win/</t>
        </is>
      </c>
      <c r="C78" s="3" t="inlineStr">
        <is>
          <t>dangerous</t>
        </is>
      </c>
      <c r="D78" s="4" t="inlineStr">
        <is>
          <t>phish_fresh</t>
        </is>
      </c>
      <c r="E78" s="8" t="inlineStr">
        <is>
          <t>yellow</t>
        </is>
      </c>
      <c r="F78" s="3" t="n">
        <v>2</v>
      </c>
      <c r="G78" s="4" t="inlineStr">
        <is>
          <t>lure_keyword, no_https</t>
        </is>
      </c>
      <c r="H78" s="10" t="inlineStr">
        <is>
          <t>ผิด</t>
        </is>
      </c>
      <c r="I78" s="7" t="n">
        <v>0.8153553242270001</v>
      </c>
      <c r="J78" s="5" t="inlineStr">
        <is>
          <t>not_red</t>
        </is>
      </c>
      <c r="K78" s="10" t="inlineStr">
        <is>
          <t>ผิด</t>
        </is>
      </c>
      <c r="L78" s="4" t="inlineStr">
        <is>
          <t>ผิดทั้งคู่</t>
        </is>
      </c>
    </row>
    <row r="79">
      <c r="A79" s="9" t="n">
        <v>77</v>
      </c>
      <c r="B79" s="4" t="inlineStr">
        <is>
          <t>https://sp0ct0-belqor-biz-tralka-zifvem.pages.dev/</t>
        </is>
      </c>
      <c r="C79" s="3" t="inlineStr">
        <is>
          <t>dangerous</t>
        </is>
      </c>
      <c r="D79" s="4" t="inlineStr">
        <is>
          <t>phish_fresh</t>
        </is>
      </c>
      <c r="E79" s="8" t="inlineStr">
        <is>
          <t>yellow</t>
        </is>
      </c>
      <c r="F79" s="3" t="n">
        <v>1</v>
      </c>
      <c r="G79" s="4" t="inlineStr">
        <is>
          <t>user_content_host</t>
        </is>
      </c>
      <c r="H79" s="10" t="inlineStr">
        <is>
          <t>ผิด</t>
        </is>
      </c>
      <c r="I79" s="7" t="n">
        <v>0.9983801103328724</v>
      </c>
      <c r="J79" s="11" t="inlineStr">
        <is>
          <t>red</t>
        </is>
      </c>
      <c r="K79" s="6" t="inlineStr">
        <is>
          <t>ถูก</t>
        </is>
      </c>
      <c r="L79" s="4" t="inlineStr">
        <is>
          <t>เฉพาะคู่แข่ง</t>
        </is>
      </c>
    </row>
    <row r="80">
      <c r="A80" s="9" t="n">
        <v>78</v>
      </c>
      <c r="B80" s="4" t="inlineStr">
        <is>
          <t>http://nurtured-umbrella-322056.framer.app/</t>
        </is>
      </c>
      <c r="C80" s="3" t="inlineStr">
        <is>
          <t>dangerous</t>
        </is>
      </c>
      <c r="D80" s="4" t="inlineStr">
        <is>
          <t>phish_fresh</t>
        </is>
      </c>
      <c r="E80" s="8" t="inlineStr">
        <is>
          <t>yellow</t>
        </is>
      </c>
      <c r="F80" s="3" t="n">
        <v>2</v>
      </c>
      <c r="G80" s="4" t="inlineStr">
        <is>
          <t>user_content_host, no_https</t>
        </is>
      </c>
      <c r="H80" s="10" t="inlineStr">
        <is>
          <t>ผิด</t>
        </is>
      </c>
      <c r="I80" s="7" t="n">
        <v>0.9999716165614725</v>
      </c>
      <c r="J80" s="11" t="inlineStr">
        <is>
          <t>red</t>
        </is>
      </c>
      <c r="K80" s="6" t="inlineStr">
        <is>
          <t>ถูก</t>
        </is>
      </c>
      <c r="L80" s="4" t="inlineStr">
        <is>
          <t>เฉพาะคู่แข่ง</t>
        </is>
      </c>
    </row>
    <row r="81">
      <c r="A81" s="9" t="n">
        <v>79</v>
      </c>
      <c r="B81" s="4" t="inlineStr">
        <is>
          <t>https://educator-10805187654567899087656.square.site/</t>
        </is>
      </c>
      <c r="C81" s="3" t="inlineStr">
        <is>
          <t>dangerous</t>
        </is>
      </c>
      <c r="D81" s="4" t="inlineStr">
        <is>
          <t>phish_fresh</t>
        </is>
      </c>
      <c r="E81" s="8" t="inlineStr">
        <is>
          <t>yellow</t>
        </is>
      </c>
      <c r="F81" s="3" t="n">
        <v>1</v>
      </c>
      <c r="G81" s="4" t="inlineStr">
        <is>
          <t>user_content_host</t>
        </is>
      </c>
      <c r="H81" s="10" t="inlineStr">
        <is>
          <t>ผิด</t>
        </is>
      </c>
      <c r="I81" s="7" t="n">
        <v>0.9999999999997584</v>
      </c>
      <c r="J81" s="11" t="inlineStr">
        <is>
          <t>red</t>
        </is>
      </c>
      <c r="K81" s="6" t="inlineStr">
        <is>
          <t>ถูก</t>
        </is>
      </c>
      <c r="L81" s="4" t="inlineStr">
        <is>
          <t>เฉพาะคู่แข่ง</t>
        </is>
      </c>
    </row>
    <row r="82">
      <c r="A82" s="3" t="n">
        <v>80</v>
      </c>
      <c r="B82" s="4" t="inlineStr">
        <is>
          <t>http://yamzoza-north-007-amazon.s3.us-east-1.amazonaws.com/moon.html</t>
        </is>
      </c>
      <c r="C82" s="3" t="inlineStr">
        <is>
          <t>dangerous</t>
        </is>
      </c>
      <c r="D82" s="4" t="inlineStr">
        <is>
          <t>phish_fresh</t>
        </is>
      </c>
      <c r="E82" s="11" t="inlineStr">
        <is>
          <t>red</t>
        </is>
      </c>
      <c r="F82" s="3" t="n">
        <v>10</v>
      </c>
      <c r="G82" s="4" t="inlineStr">
        <is>
          <t>user_content_host, user_content_brand, deep_subdomain, no_https</t>
        </is>
      </c>
      <c r="H82" s="6" t="inlineStr">
        <is>
          <t>ถูก</t>
        </is>
      </c>
      <c r="I82" s="7" t="n">
        <v>0.9999999919596841</v>
      </c>
      <c r="J82" s="11" t="inlineStr">
        <is>
          <t>red</t>
        </is>
      </c>
      <c r="K82" s="6" t="inlineStr">
        <is>
          <t>ถูก</t>
        </is>
      </c>
      <c r="L82" s="4" t="inlineStr">
        <is>
          <t>ถูกทั้งคู่</t>
        </is>
      </c>
    </row>
    <row r="83">
      <c r="A83" s="9" t="n">
        <v>81</v>
      </c>
      <c r="B83" s="4" t="inlineStr">
        <is>
          <t>https://insta-clone--leumasleinad419.replit.app/</t>
        </is>
      </c>
      <c r="C83" s="3" t="inlineStr">
        <is>
          <t>dangerous</t>
        </is>
      </c>
      <c r="D83" s="4" t="inlineStr">
        <is>
          <t>phish_fresh</t>
        </is>
      </c>
      <c r="E83" s="8" t="inlineStr">
        <is>
          <t>yellow</t>
        </is>
      </c>
      <c r="F83" s="3" t="n">
        <v>1</v>
      </c>
      <c r="G83" s="4" t="inlineStr">
        <is>
          <t>user_content_host</t>
        </is>
      </c>
      <c r="H83" s="10" t="inlineStr">
        <is>
          <t>ผิด</t>
        </is>
      </c>
      <c r="I83" s="7" t="n">
        <v>0.9996357383472941</v>
      </c>
      <c r="J83" s="11" t="inlineStr">
        <is>
          <t>red</t>
        </is>
      </c>
      <c r="K83" s="6" t="inlineStr">
        <is>
          <t>ถูก</t>
        </is>
      </c>
      <c r="L83" s="4" t="inlineStr">
        <is>
          <t>เฉพาะคู่แข่ง</t>
        </is>
      </c>
    </row>
    <row r="84">
      <c r="A84" s="9" t="n">
        <v>82</v>
      </c>
      <c r="B84" s="4" t="inlineStr">
        <is>
          <t>https://urlz.li/ea1ff161</t>
        </is>
      </c>
      <c r="C84" s="3" t="inlineStr">
        <is>
          <t>dangerous</t>
        </is>
      </c>
      <c r="D84" s="4" t="inlineStr">
        <is>
          <t>phish_fresh</t>
        </is>
      </c>
      <c r="E84" s="8" t="inlineStr">
        <is>
          <t>yellow</t>
        </is>
      </c>
      <c r="F84" s="3" t="n">
        <v>0</v>
      </c>
      <c r="G84" s="4" t="inlineStr">
        <is>
          <t>-</t>
        </is>
      </c>
      <c r="H84" s="10" t="inlineStr">
        <is>
          <t>ผิด</t>
        </is>
      </c>
      <c r="I84" s="7" t="n">
        <v>0.651857659700753</v>
      </c>
      <c r="J84" s="5" t="inlineStr">
        <is>
          <t>not_red</t>
        </is>
      </c>
      <c r="K84" s="10" t="inlineStr">
        <is>
          <t>ผิด</t>
        </is>
      </c>
      <c r="L84" s="4" t="inlineStr">
        <is>
          <t>ผิดทั้งคู่</t>
        </is>
      </c>
    </row>
    <row r="85">
      <c r="A85" s="9" t="n">
        <v>83</v>
      </c>
      <c r="B85" s="4" t="inlineStr">
        <is>
          <t>https://u.to/hkKeIg</t>
        </is>
      </c>
      <c r="C85" s="3" t="inlineStr">
        <is>
          <t>dangerous</t>
        </is>
      </c>
      <c r="D85" s="4" t="inlineStr">
        <is>
          <t>phish_fresh</t>
        </is>
      </c>
      <c r="E85" s="8" t="inlineStr">
        <is>
          <t>yellow</t>
        </is>
      </c>
      <c r="F85" s="3" t="n">
        <v>0</v>
      </c>
      <c r="G85" s="4" t="inlineStr">
        <is>
          <t>shortener</t>
        </is>
      </c>
      <c r="H85" s="10" t="inlineStr">
        <is>
          <t>ผิด</t>
        </is>
      </c>
      <c r="I85" s="7" t="n">
        <v>0.2162462695814954</v>
      </c>
      <c r="J85" s="5" t="inlineStr">
        <is>
          <t>not_red</t>
        </is>
      </c>
      <c r="K85" s="10" t="inlineStr">
        <is>
          <t>ผิด</t>
        </is>
      </c>
      <c r="L85" s="4" t="inlineStr">
        <is>
          <t>ผิดทั้งคู่</t>
        </is>
      </c>
    </row>
    <row r="86">
      <c r="A86" s="9" t="n">
        <v>84</v>
      </c>
      <c r="B86" s="4" t="inlineStr">
        <is>
          <t>https://s4w.in/OJNvf</t>
        </is>
      </c>
      <c r="C86" s="3" t="inlineStr">
        <is>
          <t>dangerous</t>
        </is>
      </c>
      <c r="D86" s="4" t="inlineStr">
        <is>
          <t>phish_fresh</t>
        </is>
      </c>
      <c r="E86" s="8" t="inlineStr">
        <is>
          <t>yellow</t>
        </is>
      </c>
      <c r="F86" s="3" t="n">
        <v>0</v>
      </c>
      <c r="G86" s="4" t="inlineStr">
        <is>
          <t>-</t>
        </is>
      </c>
      <c r="H86" s="10" t="inlineStr">
        <is>
          <t>ผิด</t>
        </is>
      </c>
      <c r="I86" s="7" t="n">
        <v>0.743457737524403</v>
      </c>
      <c r="J86" s="5" t="inlineStr">
        <is>
          <t>not_red</t>
        </is>
      </c>
      <c r="K86" s="10" t="inlineStr">
        <is>
          <t>ผิด</t>
        </is>
      </c>
      <c r="L86" s="4" t="inlineStr">
        <is>
          <t>ผิดทั้งคู่</t>
        </is>
      </c>
    </row>
    <row r="87">
      <c r="A87" s="9" t="n">
        <v>85</v>
      </c>
      <c r="B87" s="4" t="inlineStr">
        <is>
          <t>https://urlvanish.com/3f1c1509</t>
        </is>
      </c>
      <c r="C87" s="3" t="inlineStr">
        <is>
          <t>dangerous</t>
        </is>
      </c>
      <c r="D87" s="4" t="inlineStr">
        <is>
          <t>phish_fresh</t>
        </is>
      </c>
      <c r="E87" s="8" t="inlineStr">
        <is>
          <t>yellow</t>
        </is>
      </c>
      <c r="F87" s="3" t="n">
        <v>0</v>
      </c>
      <c r="G87" s="4" t="inlineStr">
        <is>
          <t>-</t>
        </is>
      </c>
      <c r="H87" s="10" t="inlineStr">
        <is>
          <t>ผิด</t>
        </is>
      </c>
      <c r="I87" s="7" t="n">
        <v>0.6171439378569135</v>
      </c>
      <c r="J87" s="5" t="inlineStr">
        <is>
          <t>not_red</t>
        </is>
      </c>
      <c r="K87" s="10" t="inlineStr">
        <is>
          <t>ผิด</t>
        </is>
      </c>
      <c r="L87" s="4" t="inlineStr">
        <is>
          <t>ผิดทั้งคู่</t>
        </is>
      </c>
    </row>
    <row r="88">
      <c r="A88" s="9" t="n">
        <v>86</v>
      </c>
      <c r="B88" s="4" t="inlineStr">
        <is>
          <t>https://oki.jtu.mybluehost.me/wp-includes/build/m/chase/us/index.asp.php</t>
        </is>
      </c>
      <c r="C88" s="3" t="inlineStr">
        <is>
          <t>dangerous</t>
        </is>
      </c>
      <c r="D88" s="4" t="inlineStr">
        <is>
          <t>phish_fresh</t>
        </is>
      </c>
      <c r="E88" s="8" t="inlineStr">
        <is>
          <t>yellow</t>
        </is>
      </c>
      <c r="F88" s="3" t="n">
        <v>1</v>
      </c>
      <c r="G88" s="4" t="inlineStr">
        <is>
          <t>user_content_host</t>
        </is>
      </c>
      <c r="H88" s="10" t="inlineStr">
        <is>
          <t>ผิด</t>
        </is>
      </c>
      <c r="I88" s="7" t="n">
        <v>0.1675826825431131</v>
      </c>
      <c r="J88" s="5" t="inlineStr">
        <is>
          <t>not_red</t>
        </is>
      </c>
      <c r="K88" s="10" t="inlineStr">
        <is>
          <t>ผิด</t>
        </is>
      </c>
      <c r="L88" s="4" t="inlineStr">
        <is>
          <t>ผิดทั้งคู่</t>
        </is>
      </c>
    </row>
    <row r="89">
      <c r="A89" s="9" t="n">
        <v>87</v>
      </c>
      <c r="B89" s="4" t="inlineStr">
        <is>
          <t>https://vxsct1811.avnam.net/ser/wordpress/wp-admin/includes/secr/Idsp3984762836/app/index.php?view=main&amp;id=cb2350479df4e65796513db36c87ea27</t>
        </is>
      </c>
      <c r="C89" s="3" t="inlineStr">
        <is>
          <t>dangerous</t>
        </is>
      </c>
      <c r="D89" s="4" t="inlineStr">
        <is>
          <t>phish_fresh</t>
        </is>
      </c>
      <c r="E89" s="8" t="inlineStr">
        <is>
          <t>yellow</t>
        </is>
      </c>
      <c r="F89" s="3" t="n">
        <v>2</v>
      </c>
      <c r="G89" s="4" t="inlineStr">
        <is>
          <t>user_content_host, long_url</t>
        </is>
      </c>
      <c r="H89" s="10" t="inlineStr">
        <is>
          <t>ผิด</t>
        </is>
      </c>
      <c r="I89" s="7" t="n">
        <v>0.9956942662868341</v>
      </c>
      <c r="J89" s="11" t="inlineStr">
        <is>
          <t>red</t>
        </is>
      </c>
      <c r="K89" s="6" t="inlineStr">
        <is>
          <t>ถูก</t>
        </is>
      </c>
      <c r="L89" s="4" t="inlineStr">
        <is>
          <t>เฉพาะคู่แข่ง</t>
        </is>
      </c>
    </row>
    <row r="90">
      <c r="A90" s="9" t="n">
        <v>88</v>
      </c>
      <c r="B90" s="4" t="inlineStr">
        <is>
          <t>https://www.artmix24.de/Pemmalsioassnbesm/index.php</t>
        </is>
      </c>
      <c r="C90" s="3" t="inlineStr">
        <is>
          <t>dangerous</t>
        </is>
      </c>
      <c r="D90" s="4" t="inlineStr">
        <is>
          <t>phish_fresh</t>
        </is>
      </c>
      <c r="E90" s="8" t="inlineStr">
        <is>
          <t>yellow</t>
        </is>
      </c>
      <c r="F90" s="3" t="n">
        <v>0</v>
      </c>
      <c r="G90" s="4" t="inlineStr">
        <is>
          <t>-</t>
        </is>
      </c>
      <c r="H90" s="10" t="inlineStr">
        <is>
          <t>ผิด</t>
        </is>
      </c>
      <c r="I90" s="7" t="n">
        <v>0.7229195516589366</v>
      </c>
      <c r="J90" s="5" t="inlineStr">
        <is>
          <t>not_red</t>
        </is>
      </c>
      <c r="K90" s="10" t="inlineStr">
        <is>
          <t>ผิด</t>
        </is>
      </c>
      <c r="L90" s="4" t="inlineStr">
        <is>
          <t>ผิดทั้งคู่</t>
        </is>
      </c>
    </row>
    <row r="91">
      <c r="A91" s="9" t="n">
        <v>89</v>
      </c>
      <c r="B91" s="4" t="inlineStr">
        <is>
          <t>https://caura.ryz.tepuyserver.net/~tanacom/payu/WAB5/Select/index.php</t>
        </is>
      </c>
      <c r="C91" s="3" t="inlineStr">
        <is>
          <t>dangerous</t>
        </is>
      </c>
      <c r="D91" s="4" t="inlineStr">
        <is>
          <t>phish_fresh</t>
        </is>
      </c>
      <c r="E91" s="8" t="inlineStr">
        <is>
          <t>yellow</t>
        </is>
      </c>
      <c r="F91" s="3" t="n">
        <v>1</v>
      </c>
      <c r="G91" s="4" t="inlineStr">
        <is>
          <t>user_content_host</t>
        </is>
      </c>
      <c r="H91" s="10" t="inlineStr">
        <is>
          <t>ผิด</t>
        </is>
      </c>
      <c r="I91" s="7" t="n">
        <v>0.5561767646843265</v>
      </c>
      <c r="J91" s="5" t="inlineStr">
        <is>
          <t>not_red</t>
        </is>
      </c>
      <c r="K91" s="10" t="inlineStr">
        <is>
          <t>ผิด</t>
        </is>
      </c>
      <c r="L91" s="4" t="inlineStr">
        <is>
          <t>ผิดทั้งคู่</t>
        </is>
      </c>
    </row>
    <row r="92">
      <c r="A92" s="9" t="n">
        <v>90</v>
      </c>
      <c r="B92" s="4" t="inlineStr">
        <is>
          <t>https://www.sporternaehrung-lambertz.de/newsletter.php</t>
        </is>
      </c>
      <c r="C92" s="3" t="inlineStr">
        <is>
          <t>dangerous</t>
        </is>
      </c>
      <c r="D92" s="4" t="inlineStr">
        <is>
          <t>phish_fresh</t>
        </is>
      </c>
      <c r="E92" s="8" t="inlineStr">
        <is>
          <t>yellow</t>
        </is>
      </c>
      <c r="F92" s="3" t="n">
        <v>0</v>
      </c>
      <c r="G92" s="4" t="inlineStr">
        <is>
          <t>-</t>
        </is>
      </c>
      <c r="H92" s="10" t="inlineStr">
        <is>
          <t>ผิด</t>
        </is>
      </c>
      <c r="I92" s="7" t="n">
        <v>0.4008329243397709</v>
      </c>
      <c r="J92" s="5" t="inlineStr">
        <is>
          <t>not_red</t>
        </is>
      </c>
      <c r="K92" s="10" t="inlineStr">
        <is>
          <t>ผิด</t>
        </is>
      </c>
      <c r="L92" s="4" t="inlineStr">
        <is>
          <t>ผิดทั้งคู่</t>
        </is>
      </c>
    </row>
    <row r="93">
      <c r="A93" s="9" t="n">
        <v>91</v>
      </c>
      <c r="B93" s="4" t="inlineStr">
        <is>
          <t>http://ajify.com/wp-hosted/hosted.html#cnjhbmrvbubyyw5kb20uy29t</t>
        </is>
      </c>
      <c r="C93" s="3" t="inlineStr">
        <is>
          <t>dangerous</t>
        </is>
      </c>
      <c r="D93" s="4" t="inlineStr">
        <is>
          <t>phish_fresh</t>
        </is>
      </c>
      <c r="E93" s="8" t="inlineStr">
        <is>
          <t>yellow</t>
        </is>
      </c>
      <c r="F93" s="3" t="n">
        <v>1</v>
      </c>
      <c r="G93" s="4" t="inlineStr">
        <is>
          <t>no_https</t>
        </is>
      </c>
      <c r="H93" s="10" t="inlineStr">
        <is>
          <t>ผิด</t>
        </is>
      </c>
      <c r="I93" s="7" t="n">
        <v>0.628181463802629</v>
      </c>
      <c r="J93" s="5" t="inlineStr">
        <is>
          <t>not_red</t>
        </is>
      </c>
      <c r="K93" s="10" t="inlineStr">
        <is>
          <t>ผิด</t>
        </is>
      </c>
      <c r="L93" s="4" t="inlineStr">
        <is>
          <t>ผิดทั้งคู่</t>
        </is>
      </c>
    </row>
    <row r="94">
      <c r="A94" s="9" t="n">
        <v>92</v>
      </c>
      <c r="B94" s="4" t="inlineStr">
        <is>
          <t>https://dc.crsorgi.gov.in.verfiys.xyz/</t>
        </is>
      </c>
      <c r="C94" s="3" t="inlineStr">
        <is>
          <t>dangerous</t>
        </is>
      </c>
      <c r="D94" s="4" t="inlineStr">
        <is>
          <t>phish_fresh</t>
        </is>
      </c>
      <c r="E94" s="8" t="inlineStr">
        <is>
          <t>yellow</t>
        </is>
      </c>
      <c r="F94" s="3" t="n">
        <v>5</v>
      </c>
      <c r="G94" s="4" t="inlineStr">
        <is>
          <t>risky_tld, deep_subdomain</t>
        </is>
      </c>
      <c r="H94" s="10" t="inlineStr">
        <is>
          <t>ผิด</t>
        </is>
      </c>
      <c r="I94" s="7" t="n">
        <v>0.1421305170295147</v>
      </c>
      <c r="J94" s="5" t="inlineStr">
        <is>
          <t>not_red</t>
        </is>
      </c>
      <c r="K94" s="10" t="inlineStr">
        <is>
          <t>ผิด</t>
        </is>
      </c>
      <c r="L94" s="4" t="inlineStr">
        <is>
          <t>ผิดทั้งคู่</t>
        </is>
      </c>
    </row>
    <row r="95">
      <c r="A95" s="9" t="n">
        <v>93</v>
      </c>
      <c r="B95" s="4" t="inlineStr">
        <is>
          <t>http://allegrolokalnie.oferta735278.click/oferta/xbox-series-x-oryginalnym-opakowaniu-z-kontrolerem-i-gr%C4%85/506406612</t>
        </is>
      </c>
      <c r="C95" s="3" t="inlineStr">
        <is>
          <t>dangerous</t>
        </is>
      </c>
      <c r="D95" s="4" t="inlineStr">
        <is>
          <t>phish_fresh</t>
        </is>
      </c>
      <c r="E95" s="8" t="inlineStr">
        <is>
          <t>yellow</t>
        </is>
      </c>
      <c r="F95" s="3" t="n">
        <v>5</v>
      </c>
      <c r="G95" s="4" t="inlineStr">
        <is>
          <t>risky_tld, no_https, long_url</t>
        </is>
      </c>
      <c r="H95" s="10" t="inlineStr">
        <is>
          <t>ผิด</t>
        </is>
      </c>
      <c r="I95" s="7" t="n">
        <v>0.999999810902227</v>
      </c>
      <c r="J95" s="11" t="inlineStr">
        <is>
          <t>red</t>
        </is>
      </c>
      <c r="K95" s="6" t="inlineStr">
        <is>
          <t>ถูก</t>
        </is>
      </c>
      <c r="L95" s="4" t="inlineStr">
        <is>
          <t>เฉพาะคู่แข่ง</t>
        </is>
      </c>
    </row>
    <row r="96">
      <c r="A96" s="9" t="n">
        <v>94</v>
      </c>
      <c r="B96" s="4" t="inlineStr">
        <is>
          <t>https://kundenservice.konto-versicherung.com/</t>
        </is>
      </c>
      <c r="C96" s="3" t="inlineStr">
        <is>
          <t>dangerous</t>
        </is>
      </c>
      <c r="D96" s="4" t="inlineStr">
        <is>
          <t>phish_fresh</t>
        </is>
      </c>
      <c r="E96" s="8" t="inlineStr">
        <is>
          <t>yellow</t>
        </is>
      </c>
      <c r="F96" s="3" t="n">
        <v>0</v>
      </c>
      <c r="G96" s="4" t="inlineStr">
        <is>
          <t>-</t>
        </is>
      </c>
      <c r="H96" s="10" t="inlineStr">
        <is>
          <t>ผิด</t>
        </is>
      </c>
      <c r="I96" s="7" t="n">
        <v>0.9999781616267918</v>
      </c>
      <c r="J96" s="11" t="inlineStr">
        <is>
          <t>red</t>
        </is>
      </c>
      <c r="K96" s="6" t="inlineStr">
        <is>
          <t>ถูก</t>
        </is>
      </c>
      <c r="L96" s="4" t="inlineStr">
        <is>
          <t>เฉพาะคู่แข่ง</t>
        </is>
      </c>
    </row>
    <row r="97">
      <c r="A97" s="9" t="n">
        <v>95</v>
      </c>
      <c r="B97" s="4" t="inlineStr">
        <is>
          <t>http://bnp-agb.de/</t>
        </is>
      </c>
      <c r="C97" s="3" t="inlineStr">
        <is>
          <t>dangerous</t>
        </is>
      </c>
      <c r="D97" s="4" t="inlineStr">
        <is>
          <t>phish_fresh</t>
        </is>
      </c>
      <c r="E97" s="8" t="inlineStr">
        <is>
          <t>yellow</t>
        </is>
      </c>
      <c r="F97" s="3" t="n">
        <v>1</v>
      </c>
      <c r="G97" s="4" t="inlineStr">
        <is>
          <t>no_https</t>
        </is>
      </c>
      <c r="H97" s="10" t="inlineStr">
        <is>
          <t>ผิด</t>
        </is>
      </c>
      <c r="I97" s="7" t="n">
        <v>0.8231360563744184</v>
      </c>
      <c r="J97" s="5" t="inlineStr">
        <is>
          <t>not_red</t>
        </is>
      </c>
      <c r="K97" s="10" t="inlineStr">
        <is>
          <t>ผิด</t>
        </is>
      </c>
      <c r="L97" s="4" t="inlineStr">
        <is>
          <t>ผิดทั้งคู่</t>
        </is>
      </c>
    </row>
    <row r="98">
      <c r="A98" s="9" t="n">
        <v>96</v>
      </c>
      <c r="B98" s="4" t="inlineStr">
        <is>
          <t>http://bafybeigvhkndbrfme6cbhe4vnxrshzowhlb35tgmud4ntc7murhr5rnwne.ipfs.dweb.link/</t>
        </is>
      </c>
      <c r="C98" s="3" t="inlineStr">
        <is>
          <t>dangerous</t>
        </is>
      </c>
      <c r="D98" s="4" t="inlineStr">
        <is>
          <t>phish_fresh</t>
        </is>
      </c>
      <c r="E98" s="8" t="inlineStr">
        <is>
          <t>yellow</t>
        </is>
      </c>
      <c r="F98" s="3" t="n">
        <v>5</v>
      </c>
      <c r="G98" s="4" t="inlineStr">
        <is>
          <t>user_content_host, risky_tld, no_https</t>
        </is>
      </c>
      <c r="H98" s="10" t="inlineStr">
        <is>
          <t>ผิด</t>
        </is>
      </c>
      <c r="I98" s="7" t="n">
        <v>0.9997311294529765</v>
      </c>
      <c r="J98" s="11" t="inlineStr">
        <is>
          <t>red</t>
        </is>
      </c>
      <c r="K98" s="6" t="inlineStr">
        <is>
          <t>ถูก</t>
        </is>
      </c>
      <c r="L98" s="4" t="inlineStr">
        <is>
          <t>เฉพาะคู่แข่ง</t>
        </is>
      </c>
    </row>
    <row r="99">
      <c r="A99" s="9" t="n">
        <v>97</v>
      </c>
      <c r="B99" s="4" t="inlineStr">
        <is>
          <t>https://pp99990009999.duckdns.org/login</t>
        </is>
      </c>
      <c r="C99" s="3" t="inlineStr">
        <is>
          <t>dangerous</t>
        </is>
      </c>
      <c r="D99" s="4" t="inlineStr">
        <is>
          <t>phish_fresh</t>
        </is>
      </c>
      <c r="E99" s="8" t="inlineStr">
        <is>
          <t>yellow</t>
        </is>
      </c>
      <c r="F99" s="3" t="n">
        <v>2</v>
      </c>
      <c r="G99" s="4" t="inlineStr">
        <is>
          <t>user_content_host, lure_keyword</t>
        </is>
      </c>
      <c r="H99" s="10" t="inlineStr">
        <is>
          <t>ผิด</t>
        </is>
      </c>
      <c r="I99" s="7" t="n">
        <v>0.9999997774050973</v>
      </c>
      <c r="J99" s="11" t="inlineStr">
        <is>
          <t>red</t>
        </is>
      </c>
      <c r="K99" s="6" t="inlineStr">
        <is>
          <t>ถูก</t>
        </is>
      </c>
      <c r="L99" s="4" t="inlineStr">
        <is>
          <t>เฉพาะคู่แข่ง</t>
        </is>
      </c>
    </row>
    <row r="100">
      <c r="A100" s="9" t="n">
        <v>98</v>
      </c>
      <c r="B100" s="4" t="inlineStr">
        <is>
          <t>https://highmarket.my/personal/market/</t>
        </is>
      </c>
      <c r="C100" s="3" t="inlineStr">
        <is>
          <t>dangerous</t>
        </is>
      </c>
      <c r="D100" s="4" t="inlineStr">
        <is>
          <t>phish_fresh</t>
        </is>
      </c>
      <c r="E100" s="8" t="inlineStr">
        <is>
          <t>yellow</t>
        </is>
      </c>
      <c r="F100" s="3" t="n">
        <v>0</v>
      </c>
      <c r="G100" s="4" t="inlineStr">
        <is>
          <t>-</t>
        </is>
      </c>
      <c r="H100" s="10" t="inlineStr">
        <is>
          <t>ผิด</t>
        </is>
      </c>
      <c r="I100" s="7" t="n">
        <v>0.5960385389570916</v>
      </c>
      <c r="J100" s="5" t="inlineStr">
        <is>
          <t>not_red</t>
        </is>
      </c>
      <c r="K100" s="10" t="inlineStr">
        <is>
          <t>ผิด</t>
        </is>
      </c>
      <c r="L100" s="4" t="inlineStr">
        <is>
          <t>ผิดทั้งคู่</t>
        </is>
      </c>
    </row>
    <row r="101">
      <c r="A101" s="9" t="n">
        <v>99</v>
      </c>
      <c r="B101" s="4" t="inlineStr">
        <is>
          <t>http://chatgpt0005.eu.org/careers</t>
        </is>
      </c>
      <c r="C101" s="3" t="inlineStr">
        <is>
          <t>dangerous</t>
        </is>
      </c>
      <c r="D101" s="4" t="inlineStr">
        <is>
          <t>phish_fresh</t>
        </is>
      </c>
      <c r="E101" s="8" t="inlineStr">
        <is>
          <t>yellow</t>
        </is>
      </c>
      <c r="F101" s="3" t="n">
        <v>2</v>
      </c>
      <c r="G101" s="4" t="inlineStr">
        <is>
          <t>user_content_host, no_https</t>
        </is>
      </c>
      <c r="H101" s="10" t="inlineStr">
        <is>
          <t>ผิด</t>
        </is>
      </c>
      <c r="I101" s="7" t="n">
        <v>0.7894097880766985</v>
      </c>
      <c r="J101" s="5" t="inlineStr">
        <is>
          <t>not_red</t>
        </is>
      </c>
      <c r="K101" s="10" t="inlineStr">
        <is>
          <t>ผิด</t>
        </is>
      </c>
      <c r="L101" s="4" t="inlineStr">
        <is>
          <t>ผิดทั้งคู่</t>
        </is>
      </c>
    </row>
    <row r="102">
      <c r="A102" s="9" t="n">
        <v>100</v>
      </c>
      <c r="B102" s="4" t="inlineStr">
        <is>
          <t>https://s.teams-rf.com/p/fjbd-cbch/zoogzziw/</t>
        </is>
      </c>
      <c r="C102" s="3" t="inlineStr">
        <is>
          <t>dangerous</t>
        </is>
      </c>
      <c r="D102" s="4" t="inlineStr">
        <is>
          <t>phish_fresh</t>
        </is>
      </c>
      <c r="E102" s="8" t="inlineStr">
        <is>
          <t>yellow</t>
        </is>
      </c>
      <c r="F102" s="3" t="n">
        <v>0</v>
      </c>
      <c r="G102" s="4" t="inlineStr">
        <is>
          <t>-</t>
        </is>
      </c>
      <c r="H102" s="10" t="inlineStr">
        <is>
          <t>ผิด</t>
        </is>
      </c>
      <c r="I102" s="7" t="n">
        <v>0.1317312531830152</v>
      </c>
      <c r="J102" s="5" t="inlineStr">
        <is>
          <t>not_red</t>
        </is>
      </c>
      <c r="K102" s="10" t="inlineStr">
        <is>
          <t>ผิด</t>
        </is>
      </c>
      <c r="L102" s="4" t="inlineStr">
        <is>
          <t>ผิดทั้งคู่</t>
        </is>
      </c>
    </row>
  </sheetData>
  <autoFilter ref="A2:L1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46" customWidth="1" min="4" max="4"/>
  </cols>
  <sheetData>
    <row r="1">
      <c r="A1" s="12" t="inlineStr">
        <is>
          <t>สรุปผลการทดสอบ 100 ลิงก์ — เทียบระบบของโครงงานกับคู่แข่ง</t>
        </is>
      </c>
    </row>
    <row r="2">
      <c r="A2" s="13" t="inlineStr">
        <is>
          <t>ระบบเรา: ตรวจแค่ชั้น 1-2 (run_deep=False) บัญชีดำ สกมช. โหลดไม่ได้  |  คู่แข่ง: Logistic Regression ฝึกจาก PhiUSIIL (UCI) เห็นแค่ชื่อโดเมน</t>
        </is>
      </c>
    </row>
    <row r="3">
      <c r="A3" s="13" t="inlineStr">
        <is>
          <t>ทั้งสองระบบถูกบังคับให้ "ห้ามเตือนเว็บจริงผิดแม้แต่เส้นเดียว" เท่ากัน จึงเทียบกันได้อย่างยุติธรรม</t>
        </is>
      </c>
    </row>
    <row r="5">
      <c r="A5" s="14" t="inlineStr">
        <is>
          <t>1) ตารางความสับสน — ระบบของเรา</t>
        </is>
      </c>
    </row>
    <row r="6">
      <c r="A6" s="15" t="inlineStr"/>
      <c r="B6" s="15" t="inlineStr">
        <is>
          <t>ตอบ แดง</t>
        </is>
      </c>
      <c r="C6" s="15" t="inlineStr">
        <is>
          <t>ตอบ ไม่แดง</t>
        </is>
      </c>
      <c r="D6" s="15" t="inlineStr">
        <is>
          <t>รวม</t>
        </is>
      </c>
    </row>
    <row r="7">
      <c r="A7" s="13" t="inlineStr">
        <is>
          <t>ความจริง: อันตราย</t>
        </is>
      </c>
      <c r="B7" s="13">
        <f>COUNTIFS(testset_100!$C$3:$C$102,"dangerous",testset_100!$E$3:$E$102,"red")</f>
        <v/>
      </c>
      <c r="C7" s="13">
        <f>COUNTIFS(testset_100!$C$3:$C$102,"dangerous")-B7</f>
        <v/>
      </c>
      <c r="D7" s="13">
        <f>B7+C7</f>
        <v/>
      </c>
    </row>
    <row r="8">
      <c r="A8" s="13" t="inlineStr">
        <is>
          <t>ความจริง: ปลอดภัย</t>
        </is>
      </c>
      <c r="B8" s="13">
        <f>COUNTIFS(testset_100!$C$3:$C$102,"safe",testset_100!$E$3:$E$102,"red")</f>
        <v/>
      </c>
      <c r="C8" s="13">
        <f>COUNTIFS(testset_100!$C$3:$C$102,"safe")-B8</f>
        <v/>
      </c>
      <c r="D8" s="13">
        <f>B8+C8</f>
        <v/>
      </c>
    </row>
    <row r="10">
      <c r="A10" s="14" t="inlineStr">
        <is>
          <t>2) ตารางความสับสน — คู่แข่ง (Logistic Regression)</t>
        </is>
      </c>
    </row>
    <row r="11">
      <c r="A11" s="15" t="inlineStr"/>
      <c r="B11" s="15" t="inlineStr">
        <is>
          <t>ตอบ แดง</t>
        </is>
      </c>
      <c r="C11" s="15" t="inlineStr">
        <is>
          <t>ตอบ ไม่แดง</t>
        </is>
      </c>
      <c r="D11" s="15" t="inlineStr">
        <is>
          <t>รวม</t>
        </is>
      </c>
    </row>
    <row r="12">
      <c r="A12" s="13" t="inlineStr">
        <is>
          <t>ความจริง: อันตราย</t>
        </is>
      </c>
      <c r="B12" s="13">
        <f>COUNTIFS(testset_100!$C$3:$C$102,"dangerous",testset_100!$J$3:$J$102,"red")</f>
        <v/>
      </c>
      <c r="C12" s="13">
        <f>COUNTIFS(testset_100!$C$3:$C$102,"dangerous")-B12</f>
        <v/>
      </c>
      <c r="D12" s="13">
        <f>B12+C12</f>
        <v/>
      </c>
    </row>
    <row r="13">
      <c r="A13" s="13" t="inlineStr">
        <is>
          <t>ความจริง: ปลอดภัย</t>
        </is>
      </c>
      <c r="B13" s="13">
        <f>COUNTIFS(testset_100!$C$3:$C$102,"safe",testset_100!$J$3:$J$102,"red")</f>
        <v/>
      </c>
      <c r="C13" s="13">
        <f>COUNTIFS(testset_100!$C$3:$C$102,"safe")-B13</f>
        <v/>
      </c>
      <c r="D13" s="13">
        <f>B13+C13</f>
        <v/>
      </c>
    </row>
    <row r="15">
      <c r="A15" s="14" t="inlineStr">
        <is>
          <t>3) เทียบตัวชี้วัด</t>
        </is>
      </c>
    </row>
    <row r="16">
      <c r="A16" s="15" t="inlineStr">
        <is>
          <t>ตัวชี้วัด</t>
        </is>
      </c>
      <c r="B16" s="15" t="inlineStr">
        <is>
          <t>ระบบเรา</t>
        </is>
      </c>
      <c r="C16" s="15" t="inlineStr">
        <is>
          <t>คู่แข่ง</t>
        </is>
      </c>
      <c r="D16" s="15" t="inlineStr">
        <is>
          <t>ความหมาย</t>
        </is>
      </c>
    </row>
    <row r="17">
      <c r="A17" s="13" t="inlineStr">
        <is>
          <t>จับลิงก์หลอกได้ (Recall)</t>
        </is>
      </c>
      <c r="B17" s="16">
        <f>B7/D7</f>
        <v/>
      </c>
      <c r="C17" s="16">
        <f>B12/D12</f>
        <v/>
      </c>
      <c r="D17" s="17" t="inlineStr">
        <is>
          <t>ลิงก์อันตรายทั้งหมด เตือนแดงได้กี่ %</t>
        </is>
      </c>
    </row>
    <row r="18">
      <c r="A18" s="13" t="inlineStr">
        <is>
          <t>เตือนผิด (False Positive rate)</t>
        </is>
      </c>
      <c r="B18" s="16">
        <f>B8/D8</f>
        <v/>
      </c>
      <c r="C18" s="16">
        <f>B13/D13</f>
        <v/>
      </c>
      <c r="D18" s="17" t="inlineStr">
        <is>
          <t>เว็บจริงโดนเตือนแดงผิดกี่ % (ยิ่งต่ำยิ่งดี)</t>
        </is>
      </c>
    </row>
    <row r="19">
      <c r="A19" s="13" t="inlineStr">
        <is>
          <t>ความแม่นของคำเตือน (Precision)</t>
        </is>
      </c>
      <c r="B19" s="16">
        <f>IF((B7+B8)=0,0,B7/(B7+B8))</f>
        <v/>
      </c>
      <c r="C19" s="16">
        <f>IF((B12+B13)=0,0,B12/(B12+B13))</f>
        <v/>
      </c>
      <c r="D19" s="17" t="inlineStr">
        <is>
          <t>เวลาขึ้นแดง ถูกจริงกี่ %</t>
        </is>
      </c>
    </row>
    <row r="20">
      <c r="A20" s="13" t="inlineStr">
        <is>
          <t>ความถูกต้องรวม (Accuracy)</t>
        </is>
      </c>
      <c r="B20" s="16">
        <f>(B7+C8)/(D7+D8)</f>
        <v/>
      </c>
      <c r="C20" s="16">
        <f>(B12+C13)/(D12+D13)</f>
        <v/>
      </c>
      <c r="D20" s="17" t="inlineStr">
        <is>
          <t>ตอบถูกกี่ % จากทั้งหมด</t>
        </is>
      </c>
    </row>
    <row r="22">
      <c r="A22" s="14" t="inlineStr">
        <is>
          <t>4) ใครตอบถูก แยกเป็นกลุ่ม</t>
        </is>
      </c>
    </row>
    <row r="23">
      <c r="A23" s="15" t="inlineStr">
        <is>
          <t>กรณี</t>
        </is>
      </c>
      <c r="B23" s="15" t="inlineStr">
        <is>
          <t>จำนวนลิงก์</t>
        </is>
      </c>
      <c r="C23" s="15" t="inlineStr">
        <is>
          <t>ความหมาย</t>
        </is>
      </c>
    </row>
    <row r="24">
      <c r="A24" s="13" t="inlineStr">
        <is>
          <t>ถูกทั้งคู่</t>
        </is>
      </c>
      <c r="B24" s="18">
        <f>COUNTIF(testset_100!$L$3:$L$102,A24)</f>
        <v/>
      </c>
      <c r="C24" s="17" t="inlineStr">
        <is>
          <t>ทั้งสองระบบตอบตรงกับความจริง</t>
        </is>
      </c>
    </row>
    <row r="25">
      <c r="A25" s="13" t="inlineStr">
        <is>
          <t>เฉพาะระบบเรา</t>
        </is>
      </c>
      <c r="B25" s="18">
        <f>COUNTIF(testset_100!$L$3:$L$102,A25)</f>
        <v/>
      </c>
      <c r="C25" s="17" t="inlineStr">
        <is>
          <t>ระบบเราตอบถูก คู่แข่งตอบผิด</t>
        </is>
      </c>
    </row>
    <row r="26">
      <c r="A26" s="13" t="inlineStr">
        <is>
          <t>เฉพาะคู่แข่ง</t>
        </is>
      </c>
      <c r="B26" s="18">
        <f>COUNTIF(testset_100!$L$3:$L$102,A26)</f>
        <v/>
      </c>
      <c r="C26" s="17" t="inlineStr">
        <is>
          <t>คู่แข่งตอบถูก ระบบเราตอบผิด</t>
        </is>
      </c>
    </row>
    <row r="27">
      <c r="A27" s="13" t="inlineStr">
        <is>
          <t>ผิดทั้งคู่</t>
        </is>
      </c>
      <c r="B27" s="18">
        <f>COUNTIF(testset_100!$L$3:$L$102,A27)</f>
        <v/>
      </c>
      <c r="C27" s="17" t="inlineStr">
        <is>
          <t>ทั้งสองระบบตอบผิด</t>
        </is>
      </c>
    </row>
    <row r="29">
      <c r="A29" s="14" t="inlineStr">
        <is>
          <t>5) นับสีเหลืองเป็นการเตือนด้วย (เฉพาะระบบเรา)</t>
        </is>
      </c>
    </row>
    <row r="30">
      <c r="A30" s="17" t="inlineStr">
        <is>
          <t>ระบบของเรามีสถานะกลางคือสีเหลือง ซึ่งเตือนผู้ใช้อยู่แต่ไม่ฟันธง ตัวเลขข้างบนนับเฉพาะสีแดง เพราะคู่แข่งมีแค่เตือนกับไม่เตือน</t>
        </is>
      </c>
    </row>
    <row r="31">
      <c r="A31" s="15" t="inlineStr">
        <is>
          <t>รายการ</t>
        </is>
      </c>
      <c r="B31" s="15" t="inlineStr">
        <is>
          <t>จำนวน</t>
        </is>
      </c>
      <c r="C31" s="15" t="inlineStr">
        <is>
          <t>คิดเป็น %</t>
        </is>
      </c>
    </row>
    <row r="32">
      <c r="A32" s="13" t="inlineStr">
        <is>
          <t>เว็บหลอกที่ได้เหลืองหรือแดง</t>
        </is>
      </c>
      <c r="B32" s="18">
        <f>COUNTIFS(testset_100!$C$3:$C$102,"dangerous")-COUNTIFS(testset_100!$C$3:$C$102,"dangerous",testset_100!$E$3:$E$102,"green")</f>
        <v/>
      </c>
      <c r="C32" s="16">
        <f>B32/D7</f>
        <v/>
      </c>
    </row>
    <row r="33">
      <c r="A33" s="13" t="inlineStr">
        <is>
          <t>เว็บจริงที่ได้เหลืองหรือแดง</t>
        </is>
      </c>
      <c r="B33" s="18">
        <f>COUNTIFS(testset_100!$C$3:$C$102,"safe")-COUNTIFS(testset_100!$C$3:$C$102,"safe",testset_100!$E$3:$E$102,"green")</f>
        <v/>
      </c>
      <c r="C33" s="16">
        <f>B33/D8</f>
        <v/>
      </c>
    </row>
    <row r="34">
      <c r="A34" s="13" t="inlineStr">
        <is>
          <t>เว็บหลอกที่ระบบเราตอบเขียว</t>
        </is>
      </c>
      <c r="B34" s="18">
        <f>COUNTIFS(testset_100!$C$3:$C$102,"dangerous",testset_100!$E$3:$E$102,"green")</f>
        <v/>
      </c>
      <c r="C34" s="16">
        <f>B34/D7</f>
        <v/>
      </c>
    </row>
    <row r="36">
      <c r="A36" s="14" t="inlineStr">
        <is>
          <t>6) ถ้าตั้งเกณฑ์ของระบบเราให้เข้มเท่าคู่แข่ง</t>
        </is>
      </c>
    </row>
    <row r="37">
      <c r="A37" s="17" t="inlineStr">
        <is>
          <t>ตอนนี้ระบบเราใช้ RED_SCORE=6 ซึ่งเข้มกว่าที่จำเป็น ถ้าลดเกณฑ์ลงมาให้ยอม เตือนผิด 0% เท่ากับคู่แข่งพอดี (คือแดงเมื่อคะแนน &gt;= 1) จะได้ผลตามนี้</t>
        </is>
      </c>
    </row>
    <row r="38">
      <c r="A38" s="15" t="inlineStr">
        <is>
          <t>รายการ</t>
        </is>
      </c>
      <c r="B38" s="15" t="inlineStr">
        <is>
          <t>จำนวน</t>
        </is>
      </c>
      <c r="C38" s="15" t="inlineStr">
        <is>
          <t>คิดเป็น %</t>
        </is>
      </c>
    </row>
    <row r="39">
      <c r="A39" s="13" t="inlineStr">
        <is>
          <t>เว็บหลอกที่คะแนน &gt;= 1</t>
        </is>
      </c>
      <c r="B39" s="18">
        <f>COUNTIFS(testset_100!$C$3:$C$102,"dangerous",testset_100!$F$3:$F$102,"&gt;=1")</f>
        <v/>
      </c>
      <c r="C39" s="16">
        <f>B39/D7</f>
        <v/>
      </c>
    </row>
    <row r="40">
      <c r="A40" s="13" t="inlineStr">
        <is>
          <t>เว็บจริงที่คะแนน &gt;= 1</t>
        </is>
      </c>
      <c r="B40" s="18">
        <f>COUNTIFS(testset_100!$C$3:$C$102,"safe",testset_100!$F$3:$F$102,"&gt;=1")</f>
        <v/>
      </c>
      <c r="C40" s="16">
        <f>B40/D8</f>
        <v/>
      </c>
    </row>
    <row r="41">
      <c r="A41" s="17" t="inlineStr">
        <is>
          <t>ตัวเลขนี้คือค่าที่ใช้ในหน้าเว็บสาธิต ส่วนตัวเลขในข้อ 1 และ 3 คือผลของเกณฑ์ที่ระบบใช้งานจริงตอนนี้</t>
        </is>
      </c>
    </row>
    <row r="43">
      <c r="A43" s="14" t="inlineStr">
        <is>
          <t>หมายเหตุ</t>
        </is>
      </c>
    </row>
    <row r="44">
      <c r="A44" s="17" t="inlineStr">
        <is>
          <t>แถวที่เลขลำดับมีพื้นสีเหลือง = แถวที่ระบบของเราตอบผิด</t>
        </is>
      </c>
    </row>
    <row r="45">
      <c r="A45" s="17" t="inlineStr">
        <is>
          <t>ตอบถูก หมายถึง ลิงก์อันตราย -&gt; แดง / เว็บจริง -&gt; ไม่แดง</t>
        </is>
      </c>
    </row>
    <row r="46">
      <c r="A46" s="17" t="inlineStr">
        <is>
          <t>คู่แข่งใช้เกณฑ์ตัดที่ 0.9724 ซึ่งเป็นค่าต่ำสุดที่ยังไม่เตือนเว็บจริงผิดเลย</t>
        </is>
      </c>
    </row>
    <row r="47">
      <c r="A47" s="17" t="inlineStr">
        <is>
          <t>คู่แข่งเห็นแค่ชื่อโดเมน ไม่เห็น path และไม่มีรายการแบรนด์ จึงเทียบได้กับชั้น 1-2 เท่านั้น</t>
        </is>
      </c>
    </row>
    <row r="48">
      <c r="A48" s="17" t="inlineStr">
        <is>
          <t>รอบนี้รันแบบ --fast จึงยังไม่ได้ตรวจชั้น 3-4 ตัวเลขที่ได้เป็นพื้นล่างของระบบ</t>
        </is>
      </c>
    </row>
    <row r="49">
      <c r="A49" s="17" t="inlineStr">
        <is>
          <t>รอบนี้บัญชีดำ สกมช. โหลดไม่ได้ ผลจึงต่ำกว่าความจริง ควรรันใหม่ตอนเน็ตปกติ</t>
        </is>
      </c>
    </row>
    <row r="50">
      <c r="A50" s="17" t="inlineStr">
        <is>
          <t>ข้อ 1 และ 3 นับเฉพาะสีแดงตามเกณฑ์ที่ระบบใช้จริง ส่วนข้อ 5 และ 6 เป็นการนับแบบอื่น ที่ทำให้เห็นความสามารถของระบบครบขึ้น ควรอ่านทั้งสามข้อประกอบกัน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2026-09-03T07:36:02Z</dcterms:created>
  <dcterms:modified xmlns:dcterms="http://purl.org/dc/terms/" xmlns:xsi="http://www.w3.org/2001/XMLSchema-instance" xsi:type="dcterms:W3CDTF">2026-09-03T07:36:02Z</dcterms:modified>
</cp:coreProperties>
</file>